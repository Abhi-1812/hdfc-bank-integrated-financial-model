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Desktop\Abhinav File\Abhinav_Portfolio\Projects\"/>
    </mc:Choice>
  </mc:AlternateContent>
  <xr:revisionPtr revIDLastSave="0" documentId="13_ncr:1_{ADCBA7BB-5FD4-456B-B0D3-B222D39A1E76}" xr6:coauthVersionLast="47" xr6:coauthVersionMax="47" xr10:uidLastSave="{00000000-0000-0000-0000-000000000000}"/>
  <bookViews>
    <workbookView xWindow="-110" yWindow="-110" windowWidth="19420" windowHeight="10300" xr2:uid="{1DDCAA79-2AE7-40E8-ADAA-ACBBD9122AE0}"/>
  </bookViews>
  <sheets>
    <sheet name="Equity Research" sheetId="16" r:id="rId1"/>
    <sheet name="Valuation_Sensitivity" sheetId="15" r:id="rId2"/>
    <sheet name="Output (IC Memo Ready)" sheetId="10" r:id="rId3"/>
    <sheet name="Risk &amp; Sensitivity" sheetId="9" r:id="rId4"/>
    <sheet name="Investor_Positioning" sheetId="7" r:id="rId5"/>
    <sheet name="M&amp;A_Strategy" sheetId="6" r:id="rId6"/>
    <sheet name="Capital_Raising Strategy" sheetId="5" r:id="rId7"/>
    <sheet name="Valuation" sheetId="4" r:id="rId8"/>
    <sheet name="Forecast_Model" sheetId="3" r:id="rId9"/>
    <sheet name="Key_Operating Drivers" sheetId="8" r:id="rId10"/>
    <sheet name="Historical_Financials" sheetId="2" r:id="rId11"/>
    <sheet name="Control_Panel" sheetId="1" r:id="rId12"/>
    <sheet name="Balance Sheet (Cons-Stand)" sheetId="14" r:id="rId13"/>
    <sheet name="Cash Flow Statement (Cons-Stand" sheetId="13" r:id="rId14"/>
    <sheet name="Income Statement (Cons-Stand)" sheetId="12" r:id="rId15"/>
  </sheets>
  <definedNames>
    <definedName name="BaseBVPS">Valuation_Sensitivity!$C$4</definedName>
    <definedName name="BaseROE">Valuation_Sensitivity!$C$5</definedName>
    <definedName name="Beta">Control_Panel!$C$9</definedName>
    <definedName name="COE">Valuation_Sensitivity!$C$6</definedName>
    <definedName name="Depreciation">'Income Statement (Cons-Stand)'!#REF!</definedName>
    <definedName name="Earning_Per_Share__Rs">'Income Statement (Cons-Stand)'!#REF!</definedName>
    <definedName name="Employee_Cost">'Income Statement (Cons-Stand)'!#REF!</definedName>
    <definedName name="Equity_Dividend">'Income Statement (Cons-Stand)'!#REF!</definedName>
    <definedName name="Expenditure">'Income Statement (Cons-Stand)'!#REF!</definedName>
    <definedName name="GDP_Growth">Control_Panel!#REF!</definedName>
    <definedName name="GDPGrowth">Control_Panel!$C$6</definedName>
    <definedName name="Growth">Valuation_Sensitivity!$C$7</definedName>
    <definedName name="Income">'Income Statement (Cons-Stand)'!#REF!</definedName>
    <definedName name="Inflation">Control_Panel!$C$7</definedName>
    <definedName name="Interest_Earned">'Income Statement (Cons-Stand)'!#REF!</definedName>
    <definedName name="Interest_expended">'Income Statement (Cons-Stand)'!#REF!</definedName>
    <definedName name="JustifiedP_B">Valuation_Sensitivity!$C$8</definedName>
    <definedName name="Market_Premium">Control_Panel!$C$10</definedName>
    <definedName name="MarketPremium">Control_Panel!$C$10</definedName>
    <definedName name="Net_Profit_for_the_Year">'Income Statement (Cons-Stand)'!#REF!</definedName>
    <definedName name="Operating_Expenses">'Income Statement (Cons-Stand)'!#REF!</definedName>
    <definedName name="Other_Income">'Income Statement (Cons-Stand)'!#REF!</definedName>
    <definedName name="Per_share_data__annualised">'Income Statement (Cons-Stand)'!#REF!</definedName>
    <definedName name="Profit_brought_forward">'Income Statement (Cons-Stand)'!#REF!</definedName>
    <definedName name="Provisions___Contingencies">'Income Statement (Cons-Stand)'!#REF!</definedName>
    <definedName name="Risk_Free_Rate">Control_Panel!#REF!</definedName>
    <definedName name="Risk_FreeRate">Control_Panel!#REF!</definedName>
    <definedName name="RiskFreeRate">Control_Panel!$C$8</definedName>
    <definedName name="Selling__Admin___Misc_Expenses">'Income Statement (Cons-Stand)'!#REF!</definedName>
    <definedName name="TargetPrice">Valuation_Sensitivity!$C$9</definedName>
    <definedName name="Total">'Income Statement (Cons-Stand)'!#REF!</definedName>
    <definedName name="Total_Expenses">'Income Statement (Cons-Stand)'!#REF!</definedName>
    <definedName name="Total_Income">'Income Statement (Cons-Stand)'!#REF!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6" l="1"/>
  <c r="C61" i="16"/>
  <c r="C60" i="16"/>
  <c r="C59" i="16"/>
  <c r="C58" i="16"/>
  <c r="F39" i="16"/>
  <c r="R4" i="16"/>
  <c r="J4" i="16"/>
  <c r="F4" i="16"/>
  <c r="B45" i="16"/>
  <c r="B44" i="16"/>
  <c r="B43" i="16"/>
  <c r="F42" i="16"/>
  <c r="E42" i="16"/>
  <c r="D42" i="16"/>
  <c r="C42" i="16"/>
  <c r="F45" i="16"/>
  <c r="E45" i="16"/>
  <c r="D45" i="16"/>
  <c r="C45" i="16"/>
  <c r="F44" i="16"/>
  <c r="E44" i="16"/>
  <c r="D44" i="16"/>
  <c r="C44" i="16"/>
  <c r="F43" i="16"/>
  <c r="E43" i="16"/>
  <c r="D43" i="16"/>
  <c r="C43" i="16"/>
  <c r="F37" i="16"/>
  <c r="F38" i="16"/>
  <c r="F35" i="16"/>
  <c r="F36" i="16" s="1"/>
  <c r="G29" i="16"/>
  <c r="F29" i="16"/>
  <c r="E29" i="16"/>
  <c r="D29" i="16"/>
  <c r="C29" i="16"/>
  <c r="G28" i="16"/>
  <c r="F28" i="16"/>
  <c r="E28" i="16"/>
  <c r="D28" i="16"/>
  <c r="C28" i="16"/>
  <c r="G27" i="16"/>
  <c r="F27" i="16"/>
  <c r="E27" i="16"/>
  <c r="D27" i="16"/>
  <c r="C27" i="16"/>
  <c r="G26" i="16"/>
  <c r="F26" i="16"/>
  <c r="E26" i="16"/>
  <c r="D26" i="16"/>
  <c r="C26" i="16"/>
  <c r="G25" i="16"/>
  <c r="F25" i="16"/>
  <c r="E25" i="16"/>
  <c r="D25" i="16"/>
  <c r="C25" i="16"/>
  <c r="G24" i="16"/>
  <c r="F24" i="16"/>
  <c r="E24" i="16"/>
  <c r="D24" i="16"/>
  <c r="C24" i="16"/>
  <c r="G19" i="16"/>
  <c r="F19" i="16"/>
  <c r="E19" i="16"/>
  <c r="D19" i="16"/>
  <c r="C19" i="16"/>
  <c r="G17" i="16"/>
  <c r="F17" i="16"/>
  <c r="E17" i="16"/>
  <c r="D17" i="16"/>
  <c r="C17" i="16"/>
  <c r="G16" i="16"/>
  <c r="G18" i="16" s="1"/>
  <c r="F16" i="16"/>
  <c r="F18" i="16" s="1"/>
  <c r="E16" i="16"/>
  <c r="E18" i="16" s="1"/>
  <c r="D16" i="16"/>
  <c r="D18" i="16" s="1"/>
  <c r="C16" i="16"/>
  <c r="C18" i="16" s="1"/>
  <c r="G15" i="16"/>
  <c r="F15" i="16"/>
  <c r="E15" i="16"/>
  <c r="D15" i="16"/>
  <c r="C15" i="16"/>
  <c r="G14" i="16"/>
  <c r="F14" i="16"/>
  <c r="E14" i="16"/>
  <c r="D14" i="16"/>
  <c r="C14" i="16"/>
  <c r="D26" i="15"/>
  <c r="D25" i="15"/>
  <c r="D24" i="15"/>
  <c r="D11" i="7"/>
  <c r="C18" i="6"/>
  <c r="C27" i="6"/>
  <c r="C6" i="15" l="1"/>
  <c r="E8" i="4"/>
  <c r="C11" i="6" l="1"/>
  <c r="F8" i="4"/>
  <c r="G8" i="4"/>
  <c r="H8" i="4"/>
  <c r="I8" i="4"/>
  <c r="G30" i="3"/>
  <c r="F30" i="3"/>
  <c r="E30" i="3"/>
  <c r="D30" i="3"/>
  <c r="C30" i="3"/>
  <c r="C7" i="7" s="1"/>
  <c r="F15" i="5"/>
  <c r="F16" i="5"/>
  <c r="F17" i="5"/>
  <c r="F18" i="5"/>
  <c r="C11" i="5"/>
  <c r="C10" i="5"/>
  <c r="C7" i="5"/>
  <c r="C8" i="6" s="1"/>
  <c r="C12" i="7" l="1"/>
  <c r="C34" i="6"/>
  <c r="F18" i="6"/>
  <c r="F19" i="6"/>
  <c r="G16" i="5"/>
  <c r="G18" i="5"/>
  <c r="G17" i="5"/>
  <c r="G15" i="5"/>
  <c r="C21" i="1" l="1"/>
  <c r="C12" i="1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C10" i="6" l="1"/>
  <c r="C25" i="6" s="1"/>
  <c r="C26" i="6" s="1"/>
  <c r="C7" i="15"/>
  <c r="F27" i="2"/>
  <c r="E27" i="2"/>
  <c r="C27" i="2"/>
  <c r="D27" i="2"/>
  <c r="G27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2" i="2"/>
  <c r="F12" i="2"/>
  <c r="E12" i="2"/>
  <c r="D12" i="2"/>
  <c r="C12" i="2"/>
  <c r="G11" i="2"/>
  <c r="F11" i="2"/>
  <c r="E11" i="2"/>
  <c r="D11" i="2"/>
  <c r="C11" i="2"/>
  <c r="G9" i="2"/>
  <c r="F9" i="2"/>
  <c r="E9" i="2"/>
  <c r="D9" i="2"/>
  <c r="C9" i="2"/>
  <c r="G7" i="2"/>
  <c r="F7" i="2"/>
  <c r="E7" i="2"/>
  <c r="D7" i="2"/>
  <c r="C7" i="2"/>
  <c r="G6" i="2"/>
  <c r="F6" i="2"/>
  <c r="F8" i="2" s="1"/>
  <c r="E6" i="2"/>
  <c r="D6" i="2"/>
  <c r="C6" i="2"/>
  <c r="C20" i="1"/>
  <c r="C11" i="1"/>
  <c r="C8" i="2" l="1"/>
  <c r="C10" i="2" s="1"/>
  <c r="C13" i="2" s="1"/>
  <c r="G8" i="2"/>
  <c r="C9" i="8" s="1"/>
  <c r="C8" i="8"/>
  <c r="C6" i="8"/>
  <c r="C6" i="3"/>
  <c r="D6" i="3" s="1"/>
  <c r="E6" i="3" s="1"/>
  <c r="F6" i="3" s="1"/>
  <c r="G6" i="3" s="1"/>
  <c r="E22" i="8"/>
  <c r="E20" i="8"/>
  <c r="C21" i="8"/>
  <c r="D21" i="8"/>
  <c r="C9" i="5"/>
  <c r="G21" i="8"/>
  <c r="C4" i="8"/>
  <c r="C20" i="8"/>
  <c r="C22" i="8"/>
  <c r="F22" i="8"/>
  <c r="F20" i="8"/>
  <c r="F16" i="8"/>
  <c r="E21" i="8"/>
  <c r="D20" i="8"/>
  <c r="D22" i="8"/>
  <c r="G22" i="8"/>
  <c r="G20" i="8"/>
  <c r="C5" i="8"/>
  <c r="C5" i="3"/>
  <c r="D5" i="3" s="1"/>
  <c r="D7" i="3" s="1"/>
  <c r="D8" i="3" s="1"/>
  <c r="G16" i="8"/>
  <c r="C18" i="3"/>
  <c r="E17" i="4"/>
  <c r="D6" i="4"/>
  <c r="F21" i="8"/>
  <c r="I13" i="4"/>
  <c r="D8" i="2"/>
  <c r="D10" i="2" s="1"/>
  <c r="D13" i="2" s="1"/>
  <c r="D15" i="8" s="1"/>
  <c r="E8" i="2"/>
  <c r="E10" i="2" s="1"/>
  <c r="E13" i="2" s="1"/>
  <c r="E14" i="8" s="1"/>
  <c r="F10" i="2"/>
  <c r="F13" i="2" s="1"/>
  <c r="F14" i="8" s="1"/>
  <c r="G10" i="2"/>
  <c r="G13" i="2" s="1"/>
  <c r="C7" i="8" s="1"/>
  <c r="D16" i="8" l="1"/>
  <c r="D14" i="8"/>
  <c r="G14" i="8"/>
  <c r="F15" i="8"/>
  <c r="E16" i="8"/>
  <c r="G17" i="8"/>
  <c r="E15" i="8"/>
  <c r="E17" i="8"/>
  <c r="G15" i="8"/>
  <c r="D17" i="8"/>
  <c r="F17" i="8"/>
  <c r="C17" i="8"/>
  <c r="D12" i="3"/>
  <c r="C7" i="3"/>
  <c r="C6" i="6"/>
  <c r="F24" i="6" s="1"/>
  <c r="C4" i="5"/>
  <c r="I21" i="4"/>
  <c r="H21" i="4"/>
  <c r="G21" i="4"/>
  <c r="F21" i="4"/>
  <c r="E21" i="4"/>
  <c r="D9" i="3"/>
  <c r="D10" i="3" s="1"/>
  <c r="E5" i="3"/>
  <c r="E7" i="3" s="1"/>
  <c r="E8" i="3" s="1"/>
  <c r="E19" i="4"/>
  <c r="E9" i="3"/>
  <c r="E12" i="3" l="1"/>
  <c r="F34" i="6"/>
  <c r="C35" i="6"/>
  <c r="C10" i="7" s="1"/>
  <c r="C12" i="3"/>
  <c r="C9" i="3"/>
  <c r="C8" i="3"/>
  <c r="F5" i="3"/>
  <c r="F7" i="3" s="1"/>
  <c r="F8" i="3" s="1"/>
  <c r="D11" i="3"/>
  <c r="D13" i="3" s="1"/>
  <c r="D14" i="3" s="1"/>
  <c r="E10" i="3"/>
  <c r="G5" i="3" l="1"/>
  <c r="F12" i="3"/>
  <c r="C9" i="9"/>
  <c r="G5" i="9" s="1"/>
  <c r="G6" i="9" s="1"/>
  <c r="G7" i="9" s="1"/>
  <c r="G8" i="9" s="1"/>
  <c r="C10" i="3"/>
  <c r="C11" i="3" s="1"/>
  <c r="C13" i="3" s="1"/>
  <c r="C14" i="3" s="1"/>
  <c r="C7" i="6" s="1"/>
  <c r="F9" i="3"/>
  <c r="F10" i="3" s="1"/>
  <c r="C14" i="9"/>
  <c r="D19" i="3"/>
  <c r="F18" i="4"/>
  <c r="D16" i="3"/>
  <c r="E11" i="3"/>
  <c r="E13" i="3" s="1"/>
  <c r="E14" i="3" s="1"/>
  <c r="G7" i="3" l="1"/>
  <c r="G34" i="3"/>
  <c r="C6" i="10" s="1"/>
  <c r="D14" i="9"/>
  <c r="E14" i="9" s="1"/>
  <c r="C14" i="10" s="1"/>
  <c r="E18" i="4"/>
  <c r="C6" i="9" s="1"/>
  <c r="C5" i="5"/>
  <c r="H16" i="5" s="1"/>
  <c r="C15" i="3"/>
  <c r="C16" i="3"/>
  <c r="C17" i="3" s="1"/>
  <c r="C19" i="3"/>
  <c r="C9" i="7" s="1"/>
  <c r="F26" i="6"/>
  <c r="F23" i="6"/>
  <c r="E19" i="3"/>
  <c r="E20" i="3" s="1"/>
  <c r="E16" i="3"/>
  <c r="G18" i="4"/>
  <c r="F11" i="3"/>
  <c r="F13" i="3" s="1"/>
  <c r="F14" i="3" s="1"/>
  <c r="G10" i="9" l="1"/>
  <c r="D15" i="9"/>
  <c r="C12" i="10" s="1"/>
  <c r="E7" i="4"/>
  <c r="C4" i="15" s="1"/>
  <c r="H15" i="5"/>
  <c r="G9" i="3"/>
  <c r="G8" i="3"/>
  <c r="G10" i="3" s="1"/>
  <c r="G11" i="3" s="1"/>
  <c r="G13" i="3" s="1"/>
  <c r="G14" i="3" s="1"/>
  <c r="G12" i="3"/>
  <c r="H17" i="5"/>
  <c r="H18" i="5"/>
  <c r="E20" i="4"/>
  <c r="E22" i="4" s="1"/>
  <c r="D20" i="3"/>
  <c r="C6" i="7" s="1"/>
  <c r="F29" i="6"/>
  <c r="D5" i="7" s="1"/>
  <c r="F35" i="6"/>
  <c r="F19" i="3"/>
  <c r="F20" i="3" s="1"/>
  <c r="F16" i="3"/>
  <c r="H18" i="4"/>
  <c r="G19" i="3" l="1"/>
  <c r="G20" i="3" s="1"/>
  <c r="I18" i="4"/>
  <c r="G16" i="3"/>
  <c r="F17" i="4" l="1"/>
  <c r="C25" i="3"/>
  <c r="C26" i="3" s="1"/>
  <c r="D17" i="3"/>
  <c r="E16" i="5"/>
  <c r="I16" i="5" s="1"/>
  <c r="E9" i="4"/>
  <c r="C24" i="10" s="1"/>
  <c r="F12" i="6"/>
  <c r="D18" i="3"/>
  <c r="D15" i="3" s="1"/>
  <c r="C27" i="3" l="1"/>
  <c r="C28" i="3"/>
  <c r="C12" i="6" s="1"/>
  <c r="F25" i="6" s="1"/>
  <c r="F30" i="6" s="1"/>
  <c r="D8" i="7" s="1"/>
  <c r="N15" i="5"/>
  <c r="F19" i="4"/>
  <c r="F20" i="4" s="1"/>
  <c r="F22" i="4" s="1"/>
  <c r="N17" i="5"/>
  <c r="E15" i="5"/>
  <c r="I15" i="5" s="1"/>
  <c r="C5" i="7"/>
  <c r="C6" i="5"/>
  <c r="J16" i="5" s="1"/>
  <c r="E18" i="3"/>
  <c r="E15" i="3" s="1"/>
  <c r="F7" i="4"/>
  <c r="F9" i="4" s="1"/>
  <c r="N16" i="5"/>
  <c r="N18" i="5"/>
  <c r="C11" i="10"/>
  <c r="C15" i="9"/>
  <c r="E15" i="9"/>
  <c r="C13" i="10" s="1"/>
  <c r="C8" i="5"/>
  <c r="C9" i="6"/>
  <c r="C23" i="6" s="1"/>
  <c r="E18" i="5"/>
  <c r="I18" i="5" s="1"/>
  <c r="E17" i="5"/>
  <c r="I17" i="5" s="1"/>
  <c r="E17" i="3"/>
  <c r="D25" i="3"/>
  <c r="D26" i="3" s="1"/>
  <c r="G17" i="4"/>
  <c r="G19" i="4" s="1"/>
  <c r="G20" i="4" s="1"/>
  <c r="G22" i="4" s="1"/>
  <c r="G7" i="4" l="1"/>
  <c r="C24" i="6"/>
  <c r="F27" i="6" s="1"/>
  <c r="F28" i="6" s="1"/>
  <c r="D6" i="7" s="1"/>
  <c r="C22" i="3"/>
  <c r="D28" i="3"/>
  <c r="D27" i="3"/>
  <c r="C29" i="3"/>
  <c r="C35" i="3" s="1"/>
  <c r="C7" i="10" s="1"/>
  <c r="C21" i="3"/>
  <c r="C8" i="7" s="1"/>
  <c r="J15" i="5"/>
  <c r="J17" i="5"/>
  <c r="J18" i="5"/>
  <c r="H17" i="4"/>
  <c r="H19" i="4" s="1"/>
  <c r="H20" i="4" s="1"/>
  <c r="H22" i="4" s="1"/>
  <c r="F17" i="3"/>
  <c r="G9" i="4"/>
  <c r="E25" i="3"/>
  <c r="E26" i="3" s="1"/>
  <c r="F18" i="3"/>
  <c r="F15" i="3" s="1"/>
  <c r="K16" i="5"/>
  <c r="K15" i="5"/>
  <c r="K18" i="5"/>
  <c r="K17" i="5"/>
  <c r="H7" i="4" l="1"/>
  <c r="C31" i="3"/>
  <c r="C32" i="3" s="1"/>
  <c r="C33" i="3" s="1"/>
  <c r="D12" i="7"/>
  <c r="D29" i="3"/>
  <c r="D22" i="3"/>
  <c r="D21" i="3"/>
  <c r="E27" i="3"/>
  <c r="E28" i="3"/>
  <c r="L16" i="5"/>
  <c r="M16" i="5"/>
  <c r="L17" i="5"/>
  <c r="M17" i="5"/>
  <c r="G17" i="3"/>
  <c r="G18" i="3"/>
  <c r="G15" i="3" s="1"/>
  <c r="H9" i="4"/>
  <c r="F25" i="3"/>
  <c r="F26" i="3" s="1"/>
  <c r="I17" i="4"/>
  <c r="I19" i="4" s="1"/>
  <c r="I20" i="4" s="1"/>
  <c r="M18" i="5"/>
  <c r="L18" i="5"/>
  <c r="M15" i="5"/>
  <c r="L15" i="5"/>
  <c r="D31" i="3" l="1"/>
  <c r="D32" i="3" s="1"/>
  <c r="D33" i="3" s="1"/>
  <c r="D35" i="3"/>
  <c r="I7" i="4"/>
  <c r="I9" i="4" s="1"/>
  <c r="I12" i="4"/>
  <c r="C5" i="15" s="1"/>
  <c r="C8" i="15" s="1"/>
  <c r="C9" i="15" s="1"/>
  <c r="B13" i="15" s="1"/>
  <c r="E29" i="3"/>
  <c r="E22" i="3"/>
  <c r="E21" i="3"/>
  <c r="F27" i="3"/>
  <c r="F28" i="3"/>
  <c r="F22" i="3" s="1"/>
  <c r="I23" i="4"/>
  <c r="I24" i="4" s="1"/>
  <c r="I22" i="4"/>
  <c r="G25" i="3"/>
  <c r="G26" i="3" s="1"/>
  <c r="E31" i="3" l="1"/>
  <c r="E32" i="3" s="1"/>
  <c r="E33" i="3" s="1"/>
  <c r="E35" i="3"/>
  <c r="C26" i="15"/>
  <c r="C25" i="15"/>
  <c r="C24" i="15"/>
  <c r="F29" i="3"/>
  <c r="F21" i="3"/>
  <c r="G27" i="3"/>
  <c r="I25" i="4"/>
  <c r="C7" i="9" s="1"/>
  <c r="C23" i="10" s="1"/>
  <c r="C25" i="10" s="1"/>
  <c r="G28" i="3"/>
  <c r="F31" i="3" l="1"/>
  <c r="F32" i="3" s="1"/>
  <c r="F33" i="3" s="1"/>
  <c r="F35" i="3"/>
  <c r="G21" i="3"/>
  <c r="G22" i="3"/>
  <c r="G29" i="3"/>
  <c r="C16" i="9"/>
  <c r="D16" i="9" s="1"/>
  <c r="E16" i="9" s="1"/>
  <c r="G31" i="3" l="1"/>
  <c r="G32" i="3" s="1"/>
  <c r="G33" i="3" s="1"/>
  <c r="G35" i="3"/>
  <c r="C8" i="9" l="1"/>
  <c r="D7" i="7" s="1"/>
  <c r="G9" i="9" l="1"/>
  <c r="D17" i="9" s="1"/>
  <c r="C18" i="10"/>
  <c r="E17" i="9"/>
  <c r="C17" i="9"/>
  <c r="C17" i="10" s="1"/>
</calcChain>
</file>

<file path=xl/sharedStrings.xml><?xml version="1.0" encoding="utf-8"?>
<sst xmlns="http://schemas.openxmlformats.org/spreadsheetml/2006/main" count="661" uniqueCount="418">
  <si>
    <t>Metrics</t>
  </si>
  <si>
    <t>FY25</t>
  </si>
  <si>
    <t>Notes</t>
  </si>
  <si>
    <t>INR (Crores)</t>
  </si>
  <si>
    <t>Net Profit</t>
  </si>
  <si>
    <t>ROE</t>
  </si>
  <si>
    <t>ROA</t>
  </si>
  <si>
    <t>Leverage</t>
  </si>
  <si>
    <t>Net Income</t>
  </si>
  <si>
    <t>CFO</t>
  </si>
  <si>
    <t>Total Assets</t>
  </si>
  <si>
    <t>Net Worth</t>
  </si>
  <si>
    <t>FY21</t>
  </si>
  <si>
    <t>FY22</t>
  </si>
  <si>
    <t>FY23</t>
  </si>
  <si>
    <t>FY24</t>
  </si>
  <si>
    <t>FY26</t>
  </si>
  <si>
    <t>FY27</t>
  </si>
  <si>
    <t>FY28</t>
  </si>
  <si>
    <t>FY29</t>
  </si>
  <si>
    <t>FY30</t>
  </si>
  <si>
    <t>Loan Growth %</t>
  </si>
  <si>
    <t>NIM</t>
  </si>
  <si>
    <t>Credit Cost %</t>
  </si>
  <si>
    <t>Interest Income</t>
  </si>
  <si>
    <t>Interest Expense</t>
  </si>
  <si>
    <t>NII</t>
  </si>
  <si>
    <t>Provisions</t>
  </si>
  <si>
    <t>Deposits</t>
  </si>
  <si>
    <t>Borrowings</t>
  </si>
  <si>
    <t>ROE Impact</t>
  </si>
  <si>
    <t>------------------- in Rs. Cr. -------------------</t>
  </si>
  <si>
    <t>Base Case</t>
  </si>
  <si>
    <t>Assumptions</t>
  </si>
  <si>
    <t>Inflation</t>
  </si>
  <si>
    <t>Cost of Debt</t>
  </si>
  <si>
    <t>Terminal Growth</t>
  </si>
  <si>
    <t>Target ROE</t>
  </si>
  <si>
    <t>Target P/B</t>
  </si>
  <si>
    <t>Deposit Growth %</t>
  </si>
  <si>
    <t>NIM %</t>
  </si>
  <si>
    <t>Income Statement</t>
  </si>
  <si>
    <t>Net Interest Income</t>
  </si>
  <si>
    <t>Other Income</t>
  </si>
  <si>
    <t>Total Income</t>
  </si>
  <si>
    <t>Operating Expense</t>
  </si>
  <si>
    <t>Balance Sheet</t>
  </si>
  <si>
    <t>Advances</t>
  </si>
  <si>
    <t>Investments</t>
  </si>
  <si>
    <t>Cash Flow</t>
  </si>
  <si>
    <t>CFI</t>
  </si>
  <si>
    <t>CFF</t>
  </si>
  <si>
    <t>#</t>
  </si>
  <si>
    <t>Net Cash Change</t>
  </si>
  <si>
    <t>Growth Metrics</t>
  </si>
  <si>
    <t>Asset CAGR</t>
  </si>
  <si>
    <t>Loan CAGR</t>
  </si>
  <si>
    <t>Deposit CAGR</t>
  </si>
  <si>
    <t>Net Profit CAGR</t>
  </si>
  <si>
    <t>Profitability</t>
  </si>
  <si>
    <t>Cost to Income</t>
  </si>
  <si>
    <t>Risk</t>
  </si>
  <si>
    <t>Loan to Deposit</t>
  </si>
  <si>
    <t>Leverage Ratio</t>
  </si>
  <si>
    <t>Provision Ratio</t>
  </si>
  <si>
    <t>Project Loans</t>
  </si>
  <si>
    <t>Project Deposits</t>
  </si>
  <si>
    <t>Retained Earnings</t>
  </si>
  <si>
    <t>Net Worth Update</t>
  </si>
  <si>
    <t>Unit</t>
  </si>
  <si>
    <t>Price to Book Model</t>
  </si>
  <si>
    <t>Current Book Value</t>
  </si>
  <si>
    <t>Forecast Book Value</t>
  </si>
  <si>
    <t>Target P/B Multiple</t>
  </si>
  <si>
    <t>Implied Share Price</t>
  </si>
  <si>
    <t>Justified P/B Model</t>
  </si>
  <si>
    <t>Cost to Equity</t>
  </si>
  <si>
    <t>Growth Rate</t>
  </si>
  <si>
    <t xml:space="preserve">Residual Income Model </t>
  </si>
  <si>
    <t>Equity Charge</t>
  </si>
  <si>
    <t>Residual Income</t>
  </si>
  <si>
    <t>PV of Residual Income</t>
  </si>
  <si>
    <t>Intrinsic Equity Value</t>
  </si>
  <si>
    <t>Scenario</t>
  </si>
  <si>
    <t>Equity Raise</t>
  </si>
  <si>
    <t>Debt Raise</t>
  </si>
  <si>
    <t>Scenario 1: No Raise</t>
  </si>
  <si>
    <t>Scenario 2: QIP</t>
  </si>
  <si>
    <t>Scenario 3: AT1 Bond</t>
  </si>
  <si>
    <t>Scenario 4: Hybrid Structure</t>
  </si>
  <si>
    <t>Target</t>
  </si>
  <si>
    <t>Purchase Price</t>
  </si>
  <si>
    <t xml:space="preserve">Current </t>
  </si>
  <si>
    <t>Narrative</t>
  </si>
  <si>
    <t>Capital Adequacy</t>
  </si>
  <si>
    <t>Investment Thesis</t>
  </si>
  <si>
    <t>Capital</t>
  </si>
  <si>
    <t>Method</t>
  </si>
  <si>
    <t>Value per Share</t>
  </si>
  <si>
    <t>Weighting</t>
  </si>
  <si>
    <t>P/B Fair Value</t>
  </si>
  <si>
    <t>Valuation Summary</t>
  </si>
  <si>
    <t>Risk Factors</t>
  </si>
  <si>
    <t>Credit Shock</t>
  </si>
  <si>
    <t>Liquidity Tightening</t>
  </si>
  <si>
    <t>Regulatory Capital</t>
  </si>
  <si>
    <t>GDPGrowth</t>
  </si>
  <si>
    <t>CostofEquity</t>
  </si>
  <si>
    <t>RBI/IMF India forecast</t>
  </si>
  <si>
    <t>RBI Target band</t>
  </si>
  <si>
    <t>10-year GOI bond yield</t>
  </si>
  <si>
    <t>Beta</t>
  </si>
  <si>
    <t xml:space="preserve">MarketPremium </t>
  </si>
  <si>
    <t>RiskFreeRate</t>
  </si>
  <si>
    <t>Consolidated Profit &amp; Loss account</t>
  </si>
  <si>
    <t>Mar '25</t>
  </si>
  <si>
    <t>Mar '24</t>
  </si>
  <si>
    <t>Mar '23</t>
  </si>
  <si>
    <t>Mar '22</t>
  </si>
  <si>
    <t>Mar '21</t>
  </si>
  <si>
    <t>12 mths</t>
  </si>
  <si>
    <t>Income</t>
  </si>
  <si>
    <t>Interest Earned</t>
  </si>
  <si>
    <t>Expenditure</t>
  </si>
  <si>
    <t>Interest expended</t>
  </si>
  <si>
    <t>Employee Cost</t>
  </si>
  <si>
    <t>Selling, Admin &amp; Misc Expenses</t>
  </si>
  <si>
    <t>Depreciation</t>
  </si>
  <si>
    <t>Operating Expenses</t>
  </si>
  <si>
    <t>Provisions &amp; Contingencies</t>
  </si>
  <si>
    <t>Total Expenses</t>
  </si>
  <si>
    <t>Net Profit for the Year</t>
  </si>
  <si>
    <t>Minority Interest</t>
  </si>
  <si>
    <t>Net P/L After Minority Interest &amp; Share Of Associates</t>
  </si>
  <si>
    <t>Profit brought forward</t>
  </si>
  <si>
    <t>Total</t>
  </si>
  <si>
    <t>Equity Dividend</t>
  </si>
  <si>
    <t>Per share data (annualised)</t>
  </si>
  <si>
    <t>Earning Per Share (Rs)</t>
  </si>
  <si>
    <t>Book Value (Rs)</t>
  </si>
  <si>
    <t>Appropriations</t>
  </si>
  <si>
    <t>Transfer to Statutory Reserves</t>
  </si>
  <si>
    <t>Transfer to Other Reserves</t>
  </si>
  <si>
    <t>Proposed Dividend/Transfer to Govt</t>
  </si>
  <si>
    <t>Balance c/f to Balance Sheet</t>
  </si>
  <si>
    <t>Consolidated Cash Flow</t>
  </si>
  <si>
    <t>Net Profit Before Tax</t>
  </si>
  <si>
    <t>Net Cash From Operating Activities</t>
  </si>
  <si>
    <t>Net Cash (used in)/from Financing Activities</t>
  </si>
  <si>
    <t>Net (decrease)/increase In Cash and Cash Equivalents</t>
  </si>
  <si>
    <t>Opening Cash &amp; Cash Equivalents</t>
  </si>
  <si>
    <t>Closing Cash &amp; Cash Equivalents</t>
  </si>
  <si>
    <t>Consolidated Balance Sheet</t>
  </si>
  <si>
    <t>Capital and Liabilities:</t>
  </si>
  <si>
    <t>Total Share Capital</t>
  </si>
  <si>
    <t>Equity Share Capital</t>
  </si>
  <si>
    <t>Employee Stock Opiton</t>
  </si>
  <si>
    <t>Reserves</t>
  </si>
  <si>
    <t>Total Debt</t>
  </si>
  <si>
    <t>Policy Holders Funds</t>
  </si>
  <si>
    <t>Other Liabilities &amp; Provisions</t>
  </si>
  <si>
    <t>Total Liabilities</t>
  </si>
  <si>
    <t>Assets</t>
  </si>
  <si>
    <t>Cash &amp; Balances with RBI</t>
  </si>
  <si>
    <t>Balance with Banks, Money at Call</t>
  </si>
  <si>
    <t>Gross Block</t>
  </si>
  <si>
    <t>Net Block</t>
  </si>
  <si>
    <t>Other Assets</t>
  </si>
  <si>
    <t>Contingent Liabilities</t>
  </si>
  <si>
    <t>Avg Advances</t>
  </si>
  <si>
    <t>Net Cash (used in)/from Investing Activities</t>
  </si>
  <si>
    <t>Non-cash Adj.</t>
  </si>
  <si>
    <t>-</t>
  </si>
  <si>
    <t>Avg Loan Book</t>
  </si>
  <si>
    <t>Operating Cost</t>
  </si>
  <si>
    <t>PBT</t>
  </si>
  <si>
    <t>Tax Rate</t>
  </si>
  <si>
    <t>FY26E</t>
  </si>
  <si>
    <t>FY27E</t>
  </si>
  <si>
    <t>FY28E</t>
  </si>
  <si>
    <t>FY29E</t>
  </si>
  <si>
    <t>FY30E</t>
  </si>
  <si>
    <t>Opening Book Value</t>
  </si>
  <si>
    <t>PV Factor</t>
  </si>
  <si>
    <t>Terminal  Value</t>
  </si>
  <si>
    <t xml:space="preserve">PV of  Terminal </t>
  </si>
  <si>
    <t>Base Equity</t>
  </si>
  <si>
    <t>New Equity</t>
  </si>
  <si>
    <t>BASE CASE HELPERS</t>
  </si>
  <si>
    <t>Base Net Income</t>
  </si>
  <si>
    <t>Base ROE</t>
  </si>
  <si>
    <t>Base Shares O/s</t>
  </si>
  <si>
    <t xml:space="preserve">Current Share Price </t>
  </si>
  <si>
    <t>AT1 Int Rate</t>
  </si>
  <si>
    <t>AT1 Rate</t>
  </si>
  <si>
    <t>Interest Exp</t>
  </si>
  <si>
    <t>After-Tax Int</t>
  </si>
  <si>
    <t>Adj Net Income</t>
  </si>
  <si>
    <t>New Roe</t>
  </si>
  <si>
    <t>New Shares Issu</t>
  </si>
  <si>
    <t>Total Shares post Raise</t>
  </si>
  <si>
    <t>Dilution%</t>
  </si>
  <si>
    <t>New Leverage</t>
  </si>
  <si>
    <t>Base Assets</t>
  </si>
  <si>
    <t>Share Price</t>
  </si>
  <si>
    <t>Balance Sheet Consistency</t>
  </si>
  <si>
    <t>RWA</t>
  </si>
  <si>
    <t>Required CET1 %</t>
  </si>
  <si>
    <t xml:space="preserve">Required Capital  </t>
  </si>
  <si>
    <t>Capital Surplus</t>
  </si>
  <si>
    <t>Equity  Raise Needed</t>
  </si>
  <si>
    <t>Risk Weight %</t>
  </si>
  <si>
    <t>Targer CET1</t>
  </si>
  <si>
    <t xml:space="preserve">Max Raw Supported </t>
  </si>
  <si>
    <t>Max Assets Supported</t>
  </si>
  <si>
    <t xml:space="preserve">Max Growth Allowed </t>
  </si>
  <si>
    <t>Target NI</t>
  </si>
  <si>
    <t>Target Equity</t>
  </si>
  <si>
    <t>Synergy %</t>
  </si>
  <si>
    <t>Equity % Funding</t>
  </si>
  <si>
    <t xml:space="preserve">Base </t>
  </si>
  <si>
    <t>Debt Raised</t>
  </si>
  <si>
    <t>Equity Raised</t>
  </si>
  <si>
    <t>Synergy NI</t>
  </si>
  <si>
    <t>Goodwill</t>
  </si>
  <si>
    <t>P/B</t>
  </si>
  <si>
    <t>Opening Equity</t>
  </si>
  <si>
    <t>EPS</t>
  </si>
  <si>
    <t>EPS Growth %</t>
  </si>
  <si>
    <t>Asset Growth%</t>
  </si>
  <si>
    <t>ROE improves post transaction; earnings accretive</t>
  </si>
  <si>
    <t>Transaction enhances earnings growth trajectory</t>
  </si>
  <si>
    <t>Capital position remains strong post-acquisition</t>
  </si>
  <si>
    <t>Balance sheet expansion manageable</t>
  </si>
  <si>
    <t>Goodwill  % of Equity</t>
  </si>
  <si>
    <t>Debt Funding %</t>
  </si>
  <si>
    <t>CET1%</t>
  </si>
  <si>
    <t>Balance funding structure with 50% debt and 50% equity; financial risk  remains controlled</t>
  </si>
  <si>
    <t>Case</t>
  </si>
  <si>
    <t>New NII</t>
  </si>
  <si>
    <t xml:space="preserve"> Payout</t>
  </si>
  <si>
    <t>New NIM</t>
  </si>
  <si>
    <t>Decline in NII</t>
  </si>
  <si>
    <t>Impact on NI</t>
  </si>
  <si>
    <t>Value</t>
  </si>
  <si>
    <t>Interpration</t>
  </si>
  <si>
    <t>Moderate Profitability</t>
  </si>
  <si>
    <t>Intrinsic Value</t>
  </si>
  <si>
    <t>Fair Value  Baseline</t>
  </si>
  <si>
    <t>CET1</t>
  </si>
  <si>
    <t>Strong Capital  Buffer</t>
  </si>
  <si>
    <t>Healthy Margin</t>
  </si>
  <si>
    <t>Stress Case (NIM-50bps)</t>
  </si>
  <si>
    <t xml:space="preserve">Metrics </t>
  </si>
  <si>
    <t>Stress</t>
  </si>
  <si>
    <t>Change</t>
  </si>
  <si>
    <t>Interpreation</t>
  </si>
  <si>
    <t>Earnings sensitive to NIM</t>
  </si>
  <si>
    <t>Profitability declines</t>
  </si>
  <si>
    <t>Valuation downside risk</t>
  </si>
  <si>
    <t>Capital remains strong</t>
  </si>
  <si>
    <t>Sensitivity Score</t>
  </si>
  <si>
    <t>Earnings Sensitivvity</t>
  </si>
  <si>
    <t>Capital  Risk</t>
  </si>
  <si>
    <t xml:space="preserve">Valuation Risk  </t>
  </si>
  <si>
    <t>Rating</t>
  </si>
  <si>
    <t>Risk Area</t>
  </si>
  <si>
    <t>Moderate</t>
  </si>
  <si>
    <t>Low</t>
  </si>
  <si>
    <t>High</t>
  </si>
  <si>
    <t>Growth</t>
  </si>
  <si>
    <t>Balance Sheet expansion sustainable under CET1&gt;13%</t>
  </si>
  <si>
    <t>Stress ROE (NIM-50 bps)</t>
  </si>
  <si>
    <t>Earning Decline Under Stress</t>
  </si>
  <si>
    <t>Base CET1</t>
  </si>
  <si>
    <t>Stress CET1</t>
  </si>
  <si>
    <t xml:space="preserve">Intrinsic </t>
  </si>
  <si>
    <t>Earning highly senesitive to asset liquidity deterioration</t>
  </si>
  <si>
    <t>Valuation sensitive to  margin compression</t>
  </si>
  <si>
    <t xml:space="preserve">Capital  Policy changes can structurally reduce   valuation  </t>
  </si>
  <si>
    <t>COE</t>
  </si>
  <si>
    <t>BaseBVPS</t>
  </si>
  <si>
    <t>JustifiedP/B</t>
  </si>
  <si>
    <t>TargetPrice</t>
  </si>
  <si>
    <t>3-Year Expected CAGR</t>
  </si>
  <si>
    <t>Driven by loan book  expansion and merger consolidation impact in FY24</t>
  </si>
  <si>
    <t>Reflects balance sheet growth; NIM broadly stable across  period</t>
  </si>
  <si>
    <t>Significant increase in FY24 due  to merger-related consolidation and non-ccore income  adj</t>
  </si>
  <si>
    <t>Cost base normalized toward 1.4% by FY25</t>
  </si>
  <si>
    <t>Credit cost normalized toward 1.4% by FY25</t>
  </si>
  <si>
    <t>Strong growth trajectory;FY24 reflects merger uplift</t>
  </si>
  <si>
    <t>Step-up in FY24 reflects merger equity consolidation</t>
  </si>
  <si>
    <t>Growth aligned with asset expansion strategy</t>
  </si>
  <si>
    <t>Temporary spike in FY24; normalized in FY25</t>
  </si>
  <si>
    <t>Core loan book growth; major driver of earnings  expansion</t>
  </si>
  <si>
    <t>Increase reflects treasury and liquidty positioning post-merger</t>
  </si>
  <si>
    <t>Balance sheet scale nearly doubled post-merger (FY24)</t>
  </si>
  <si>
    <t>Strong  operating cash generation; typical banking model dynamics</t>
  </si>
  <si>
    <t>Reflects dividend payments and funding adjustments</t>
  </si>
  <si>
    <t>Historical Summary Observations</t>
  </si>
  <si>
    <t>FY24 structural break due to merger</t>
  </si>
  <si>
    <t>ROE dilution post-merger</t>
  </si>
  <si>
    <t>Margin stable but cost structure expanded</t>
  </si>
  <si>
    <t>Leverage remained controlled</t>
  </si>
  <si>
    <t>FY21-FY25</t>
  </si>
  <si>
    <t>Equity CAGR</t>
  </si>
  <si>
    <t>NII  CAGR</t>
  </si>
  <si>
    <t>FY26 operating cost reflect post-merger initegration normalization and removal of  one-off expenses from FY24-Fy25</t>
  </si>
  <si>
    <t>Per Share</t>
  </si>
  <si>
    <t>INR Cr</t>
  </si>
  <si>
    <t>Transaction Assumptions</t>
  </si>
  <si>
    <t>Acquirer Opening Equity</t>
  </si>
  <si>
    <t>Acquirer Net income</t>
  </si>
  <si>
    <t>Shares O/s</t>
  </si>
  <si>
    <t xml:space="preserve">Target Assets </t>
  </si>
  <si>
    <t>Debt % Funding</t>
  </si>
  <si>
    <t xml:space="preserve">Equity %  Funding </t>
  </si>
  <si>
    <t>Sources &amp; Uses</t>
  </si>
  <si>
    <t>INR (CR)</t>
  </si>
  <si>
    <t>Sources</t>
  </si>
  <si>
    <t>Pro Forma Financial Impact</t>
  </si>
  <si>
    <t>Shares Issued</t>
  </si>
  <si>
    <t>Total Shares Post</t>
  </si>
  <si>
    <t>After-Tax Interest</t>
  </si>
  <si>
    <t>Pro Forma NI</t>
  </si>
  <si>
    <t>Pro Forma Equity</t>
  </si>
  <si>
    <t>Pro Forma Assets</t>
  </si>
  <si>
    <t>EPS Pre</t>
  </si>
  <si>
    <t>EPS Post</t>
  </si>
  <si>
    <t>EPS Accretion %</t>
  </si>
  <si>
    <t>ROE Post</t>
  </si>
  <si>
    <t>Leverage Post</t>
  </si>
  <si>
    <t>Goodwill &amp; Capital Impact</t>
  </si>
  <si>
    <t>Goodwill% of Equity</t>
  </si>
  <si>
    <t>Tangible Equity</t>
  </si>
  <si>
    <t>Tangible ROE</t>
  </si>
  <si>
    <t>Loan CAGR projected at (FY26-FY30)</t>
  </si>
  <si>
    <t>Actual CET1</t>
  </si>
  <si>
    <t>NIM compression manageable  (-50bps)</t>
  </si>
  <si>
    <t>BaseROE (Terminal/Sustainable)</t>
  </si>
  <si>
    <t>Long-Term Book Growth</t>
  </si>
  <si>
    <t>CMP Scenerios</t>
  </si>
  <si>
    <t>HDFC BANK LIMITED  |  REPORT  |  FY21–FY30</t>
  </si>
  <si>
    <t>NSE: HDFCBANK  ·  BSE: 500180  ·  Indian Private Banking Sector  ·  Prepared: March 2025</t>
  </si>
  <si>
    <t>RATING</t>
  </si>
  <si>
    <t>TARGET PRICE</t>
  </si>
  <si>
    <t>LOAN CAGR</t>
  </si>
  <si>
    <t>FY30 ROE</t>
  </si>
  <si>
    <t>P/B JUSTIFIED</t>
  </si>
  <si>
    <t>HOLD</t>
  </si>
  <si>
    <t xml:space="preserve">  1. INVESTMENT THESIS</t>
  </si>
  <si>
    <t>Year</t>
  </si>
  <si>
    <t>Loan book ~16% CAGR FY26–30; digital banking driving asset expansion</t>
  </si>
  <si>
    <t>ROE recovery 9.3%→17.5%; NIM stable ~5.8% post-merger</t>
  </si>
  <si>
    <t>Revenue</t>
  </si>
  <si>
    <t>CET1 &gt;15%; well above RBI 11.5% requirement; capital buffer intact</t>
  </si>
  <si>
    <t>Loan Book</t>
  </si>
  <si>
    <t>Valuation</t>
  </si>
  <si>
    <t>Stock near fair value at ₹119; accumulate below ₹100 for margin of safety</t>
  </si>
  <si>
    <t>ROE %</t>
  </si>
  <si>
    <t xml:space="preserve">  4. HISTORICAL FINANCIALS (₹ Crores)  FY21–FY25</t>
  </si>
  <si>
    <t>Metric</t>
  </si>
  <si>
    <t>Net Interest Inc</t>
  </si>
  <si>
    <t>Total Revenue</t>
  </si>
  <si>
    <t>ROE (%)</t>
  </si>
  <si>
    <t>NIM (%)</t>
  </si>
  <si>
    <t>GNPA (%)</t>
  </si>
  <si>
    <t xml:space="preserve">  5. FORECAST MODEL (₹ Crores)  FY26–FY30</t>
  </si>
  <si>
    <t>EPS (₹)</t>
  </si>
  <si>
    <t>BV/Share (₹)</t>
  </si>
  <si>
    <t>Key Assumptions:  Loan Growth 16%  |  NIM 5.8%  |  Cost of Equity 12.2%  |  Terminal Growth 5.0%  |  Tax 25.2%</t>
  </si>
  <si>
    <t xml:space="preserve">  6. VALUATION</t>
  </si>
  <si>
    <t>Model</t>
  </si>
  <si>
    <t>Residual Income Model (RIM)</t>
  </si>
  <si>
    <t>Intrinsic Value / Share</t>
  </si>
  <si>
    <t>Justified P/B</t>
  </si>
  <si>
    <t>Book Value / Share</t>
  </si>
  <si>
    <t xml:space="preserve">  7. SENSITIVITY  (Target Price ₹ — ROE vs COE)</t>
  </si>
  <si>
    <t>ROE↓/COE→</t>
  </si>
  <si>
    <t xml:space="preserve">  8. RISK ANALYSIS</t>
  </si>
  <si>
    <t>Severity</t>
  </si>
  <si>
    <t>Mitigation</t>
  </si>
  <si>
    <t>Credit / NPA Risk</t>
  </si>
  <si>
    <t>HIGH</t>
  </si>
  <si>
    <t>Strong underwriting; PCR &gt;70%; diversified portfolio</t>
  </si>
  <si>
    <t>Interest Rate Risk</t>
  </si>
  <si>
    <t>MED</t>
  </si>
  <si>
    <t>ALM management; floating rate book; hedging</t>
  </si>
  <si>
    <t>Regulatory Risk</t>
  </si>
  <si>
    <t>Dedicated compliance; regular RBI engagement</t>
  </si>
  <si>
    <t>Merger Integration Risk</t>
  </si>
  <si>
    <t>Phased PMO; synergy targets on track</t>
  </si>
  <si>
    <t>Cyber / Technology Risk</t>
  </si>
  <si>
    <t>LOW</t>
  </si>
  <si>
    <t>ISO 27001; 24x7 SOC; regular VAPT audits</t>
  </si>
  <si>
    <t>Competition / Fintech</t>
  </si>
  <si>
    <t>PayZapp 2.0; API banking; SmartHub ecosystem</t>
  </si>
  <si>
    <t>CMP (₹)</t>
  </si>
  <si>
    <t>Expected CAGR</t>
  </si>
  <si>
    <t>vs Target</t>
  </si>
  <si>
    <t>Recommendation</t>
  </si>
  <si>
    <t>Bull</t>
  </si>
  <si>
    <t>BUY</t>
  </si>
  <si>
    <t>MODERATE UPSIDE</t>
  </si>
  <si>
    <t>Base</t>
  </si>
  <si>
    <t>HOLD — FAIR VALUE</t>
  </si>
  <si>
    <t>Bear</t>
  </si>
  <si>
    <t>DOWNSIDE</t>
  </si>
  <si>
    <t xml:space="preserve">  10. INVESTMENT RECOMMENDATION</t>
  </si>
  <si>
    <t>RATING: HOLD  |  TARGET PRICE: ₹119.10  |  Entry Zone: ≤ ₹100  |  Bull Target: ₹165  |  Bear: ₹72</t>
  </si>
  <si>
    <t>✔  Strong Fundamentals: Best-in-class CASA, underwriting, digital platform &amp; asset quality in India.</t>
  </si>
  <si>
    <t>✔  ROE Recovery: 9.31% (FY26) → 17.54% (FY30) as HDFC merger synergies and NIM normalization unfold.</t>
  </si>
  <si>
    <t>✔  Valuation: P/B of 1.63x justified; at ₹119 CMP, limited upside vs 12.2% Cost of Equity.</t>
  </si>
  <si>
    <t>✔  Strategy: HOLD at CMP; ACCUMULATE aggressively on dips to ₹100 or below for 15%+ margin of safety.</t>
  </si>
  <si>
    <t>Disclaimer: This report is for informational purposes only and does not constitute investment advice. Projections are estimates based on available data and subject to change. Investors should conduct independent due diligence.</t>
  </si>
  <si>
    <t>Intrinsic Equity Value (Cr)</t>
  </si>
  <si>
    <t>Fair Value</t>
  </si>
  <si>
    <t>HDFC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</si>
</sst>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%"/>
    <numFmt numFmtId="166" formatCode="#,##0.00;\(#,##0.00\)"/>
    <numFmt numFmtId="167" formatCode="0.0&quot;x&quot;"/>
    <numFmt numFmtId="168" formatCode="#,##0.0000;\(#,##0.0000\)"/>
    <numFmt numFmtId="169" formatCode="#,##0;\(#,##0\)"/>
    <numFmt numFmtId="170" formatCode="[$₹-4009]\ #,##0.00"/>
    <numFmt numFmtId="171" formatCode="#,##0.00;[Red]\(#,##0.00\)"/>
    <numFmt numFmtId="172" formatCode="0.0000"/>
  </numFmts>
  <fonts count="4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8"/>
      <name val="Calibri"/>
      <family val="2"/>
    </font>
    <font>
      <b/>
      <sz val="6"/>
      <color theme="1"/>
      <name val="Arial"/>
      <family val="2"/>
    </font>
    <font>
      <sz val="5"/>
      <color theme="1"/>
      <name val="Calibri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u/>
      <sz val="11"/>
      <color theme="10"/>
      <name val="Calibri"/>
      <family val="2"/>
    </font>
    <font>
      <sz val="11"/>
      <color rgb="FF006100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9"/>
      <color theme="0" tint="-0.249977111117893"/>
      <name val="Calibri"/>
      <family val="2"/>
    </font>
    <font>
      <b/>
      <sz val="12"/>
      <color theme="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0"/>
      <color theme="0" tint="-0.34998626667073579"/>
      <name val="Calibri"/>
      <family val="2"/>
    </font>
    <font>
      <sz val="10"/>
      <color theme="0" tint="-0.249977111117893"/>
      <name val="Calibri"/>
      <family val="2"/>
    </font>
    <font>
      <b/>
      <sz val="18"/>
      <color rgb="FFC9A84C"/>
      <name val="Calibri"/>
    </font>
    <font>
      <b/>
      <sz val="13"/>
      <color rgb="FFC9A84C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9"/>
      <color rgb="FF1F3864"/>
      <name val="Calibri"/>
    </font>
    <font>
      <sz val="9"/>
      <color rgb="FF000000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9"/>
      <color rgb="FF1F3864"/>
      <name val="Calibri"/>
    </font>
    <font>
      <b/>
      <sz val="9"/>
      <color rgb="FFFFFFFF"/>
      <name val="Calibri"/>
    </font>
    <font>
      <sz val="8"/>
      <color rgb="FF000000"/>
      <name val="Calibri"/>
    </font>
    <font>
      <b/>
      <sz val="9"/>
      <color rgb="FF000000"/>
      <name val="Calibri"/>
      <family val="2"/>
    </font>
    <font>
      <b/>
      <sz val="9"/>
      <color rgb="FF1F3864"/>
      <name val="Calibri"/>
      <family val="2"/>
    </font>
    <font>
      <sz val="9"/>
      <color rgb="FF1F3864"/>
      <name val="Calibri"/>
      <family val="2"/>
    </font>
    <font>
      <b/>
      <sz val="10"/>
      <color theme="0"/>
      <name val="Calibri"/>
      <family val="2"/>
    </font>
    <font>
      <b/>
      <sz val="10"/>
      <color rgb="FFD6DCE4"/>
      <name val="Calibri"/>
      <family val="2"/>
    </font>
    <font>
      <b/>
      <sz val="9"/>
      <name val="Calibri"/>
      <family val="2"/>
    </font>
    <font>
      <b/>
      <sz val="16"/>
      <color theme="7" tint="-0.24997711111789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2E4A8A"/>
      </patternFill>
    </fill>
    <fill>
      <patternFill patternType="solid">
        <fgColor rgb="FFEEF1F5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D4AC0D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/>
      <top/>
      <bottom style="medium">
        <color rgb="FFEEEEEE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72">
    <xf numFmtId="0" fontId="0" fillId="0" borderId="0" xfId="0"/>
    <xf numFmtId="0" fontId="0" fillId="5" borderId="0" xfId="0" applyFill="1"/>
    <xf numFmtId="0" fontId="12" fillId="5" borderId="0" xfId="2" applyFill="1" applyAlignment="1">
      <alignment horizontal="right" vertical="center" wrapText="1"/>
    </xf>
    <xf numFmtId="0" fontId="8" fillId="3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4" fontId="8" fillId="5" borderId="1" xfId="0" applyNumberFormat="1" applyFont="1" applyFill="1" applyBorder="1" applyAlignment="1">
      <alignment horizontal="right" vertical="center" wrapText="1"/>
    </xf>
    <xf numFmtId="165" fontId="13" fillId="0" borderId="0" xfId="1" applyNumberFormat="1" applyFont="1" applyBorder="1"/>
    <xf numFmtId="10" fontId="13" fillId="0" borderId="0" xfId="1" applyNumberFormat="1" applyFont="1" applyBorder="1" applyAlignment="1">
      <alignment horizontal="right"/>
    </xf>
    <xf numFmtId="10" fontId="14" fillId="0" borderId="0" xfId="1" applyNumberFormat="1" applyFont="1" applyBorder="1"/>
    <xf numFmtId="10" fontId="13" fillId="0" borderId="0" xfId="1" applyNumberFormat="1" applyFont="1" applyBorder="1"/>
    <xf numFmtId="10" fontId="15" fillId="0" borderId="0" xfId="1" applyNumberFormat="1" applyFont="1" applyBorder="1"/>
    <xf numFmtId="0" fontId="9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4" borderId="0" xfId="0" applyFont="1" applyFill="1"/>
    <xf numFmtId="0" fontId="0" fillId="4" borderId="0" xfId="0" applyFill="1"/>
    <xf numFmtId="165" fontId="14" fillId="0" borderId="0" xfId="0" applyNumberFormat="1" applyFont="1"/>
    <xf numFmtId="10" fontId="14" fillId="0" borderId="0" xfId="0" applyNumberFormat="1" applyFont="1"/>
    <xf numFmtId="2" fontId="14" fillId="0" borderId="0" xfId="0" applyNumberFormat="1" applyFont="1"/>
    <xf numFmtId="10" fontId="0" fillId="0" borderId="0" xfId="1" applyNumberFormat="1" applyFont="1" applyBorder="1"/>
    <xf numFmtId="9" fontId="14" fillId="0" borderId="0" xfId="0" applyNumberFormat="1" applyFont="1"/>
    <xf numFmtId="164" fontId="14" fillId="0" borderId="0" xfId="0" applyNumberFormat="1" applyFont="1" applyAlignment="1">
      <alignment horizontal="right"/>
    </xf>
    <xf numFmtId="165" fontId="14" fillId="0" borderId="0" xfId="1" applyNumberFormat="1" applyFont="1" applyBorder="1"/>
    <xf numFmtId="166" fontId="13" fillId="0" borderId="0" xfId="0" applyNumberFormat="1" applyFont="1"/>
    <xf numFmtId="0" fontId="6" fillId="0" borderId="0" xfId="0" applyFont="1"/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166" fontId="13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14" fillId="0" borderId="0" xfId="0" applyNumberFormat="1" applyFont="1"/>
    <xf numFmtId="166" fontId="0" fillId="0" borderId="0" xfId="0" applyNumberFormat="1"/>
    <xf numFmtId="165" fontId="13" fillId="0" borderId="0" xfId="1" applyNumberFormat="1" applyFont="1" applyBorder="1" applyAlignment="1">
      <alignment horizontal="right"/>
    </xf>
    <xf numFmtId="9" fontId="0" fillId="0" borderId="0" xfId="1" applyFont="1" applyBorder="1"/>
    <xf numFmtId="166" fontId="15" fillId="0" borderId="0" xfId="0" applyNumberFormat="1" applyFont="1"/>
    <xf numFmtId="0" fontId="13" fillId="0" borderId="0" xfId="0" applyFont="1" applyAlignment="1">
      <alignment horizontal="right"/>
    </xf>
    <xf numFmtId="167" fontId="13" fillId="0" borderId="0" xfId="0" applyNumberFormat="1" applyFont="1" applyAlignment="1">
      <alignment horizontal="right"/>
    </xf>
    <xf numFmtId="2" fontId="0" fillId="0" borderId="0" xfId="0" applyNumberFormat="1"/>
    <xf numFmtId="10" fontId="13" fillId="0" borderId="0" xfId="0" applyNumberFormat="1" applyFont="1"/>
    <xf numFmtId="0" fontId="0" fillId="6" borderId="0" xfId="0" applyFill="1"/>
    <xf numFmtId="0" fontId="3" fillId="6" borderId="0" xfId="0" applyFont="1" applyFill="1"/>
    <xf numFmtId="168" fontId="15" fillId="0" borderId="0" xfId="0" applyNumberFormat="1" applyFont="1"/>
    <xf numFmtId="10" fontId="0" fillId="0" borderId="0" xfId="0" applyNumberFormat="1"/>
    <xf numFmtId="0" fontId="16" fillId="0" borderId="0" xfId="0" applyFont="1"/>
    <xf numFmtId="2" fontId="13" fillId="0" borderId="0" xfId="0" applyNumberFormat="1" applyFont="1"/>
    <xf numFmtId="0" fontId="17" fillId="2" borderId="0" xfId="0" applyFont="1" applyFill="1"/>
    <xf numFmtId="0" fontId="3" fillId="4" borderId="0" xfId="0" applyFont="1" applyFill="1" applyAlignment="1">
      <alignment horizontal="right"/>
    </xf>
    <xf numFmtId="0" fontId="4" fillId="6" borderId="0" xfId="0" applyFont="1" applyFill="1"/>
    <xf numFmtId="10" fontId="4" fillId="6" borderId="0" xfId="0" applyNumberFormat="1" applyFont="1" applyFill="1"/>
    <xf numFmtId="10" fontId="13" fillId="0" borderId="0" xfId="0" applyNumberFormat="1" applyFont="1" applyAlignment="1">
      <alignment horizontal="right"/>
    </xf>
    <xf numFmtId="0" fontId="0" fillId="6" borderId="0" xfId="0" applyFill="1" applyAlignment="1">
      <alignment horizontal="right"/>
    </xf>
    <xf numFmtId="166" fontId="4" fillId="6" borderId="0" xfId="0" applyNumberFormat="1" applyFont="1" applyFill="1"/>
    <xf numFmtId="169" fontId="4" fillId="6" borderId="0" xfId="0" applyNumberFormat="1" applyFont="1" applyFill="1"/>
    <xf numFmtId="10" fontId="15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0" fillId="2" borderId="0" xfId="0" applyFill="1"/>
    <xf numFmtId="0" fontId="18" fillId="4" borderId="0" xfId="0" applyFont="1" applyFill="1"/>
    <xf numFmtId="166" fontId="15" fillId="0" borderId="0" xfId="0" applyNumberFormat="1" applyFont="1" applyAlignment="1">
      <alignment horizontal="right"/>
    </xf>
    <xf numFmtId="10" fontId="13" fillId="6" borderId="0" xfId="0" applyNumberFormat="1" applyFont="1" applyFill="1"/>
    <xf numFmtId="2" fontId="13" fillId="0" borderId="0" xfId="1" applyNumberFormat="1" applyFont="1" applyBorder="1" applyAlignment="1">
      <alignment horizontal="right"/>
    </xf>
    <xf numFmtId="10" fontId="0" fillId="0" borderId="0" xfId="1" applyNumberFormat="1" applyFont="1"/>
    <xf numFmtId="165" fontId="13" fillId="0" borderId="0" xfId="1" applyNumberFormat="1" applyFont="1"/>
    <xf numFmtId="10" fontId="13" fillId="0" borderId="0" xfId="1" applyNumberFormat="1" applyFont="1"/>
    <xf numFmtId="9" fontId="0" fillId="0" borderId="5" xfId="0" applyNumberFormat="1" applyBorder="1"/>
    <xf numFmtId="9" fontId="0" fillId="0" borderId="6" xfId="0" applyNumberFormat="1" applyBorder="1"/>
    <xf numFmtId="2" fontId="0" fillId="0" borderId="6" xfId="0" applyNumberFormat="1" applyBorder="1"/>
    <xf numFmtId="9" fontId="0" fillId="0" borderId="7" xfId="0" applyNumberFormat="1" applyBorder="1"/>
    <xf numFmtId="2" fontId="0" fillId="0" borderId="7" xfId="0" applyNumberFormat="1" applyBorder="1"/>
    <xf numFmtId="2" fontId="0" fillId="0" borderId="5" xfId="0" applyNumberFormat="1" applyBorder="1"/>
    <xf numFmtId="166" fontId="2" fillId="2" borderId="5" xfId="0" applyNumberFormat="1" applyFont="1" applyFill="1" applyBorder="1"/>
    <xf numFmtId="9" fontId="3" fillId="4" borderId="5" xfId="0" applyNumberFormat="1" applyFont="1" applyFill="1" applyBorder="1"/>
    <xf numFmtId="166" fontId="19" fillId="0" borderId="0" xfId="0" applyNumberFormat="1" applyFont="1" applyAlignment="1">
      <alignment horizontal="right"/>
    </xf>
    <xf numFmtId="10" fontId="19" fillId="0" borderId="0" xfId="0" applyNumberFormat="1" applyFont="1" applyAlignment="1">
      <alignment horizontal="right"/>
    </xf>
    <xf numFmtId="0" fontId="20" fillId="0" borderId="0" xfId="0" applyFont="1"/>
    <xf numFmtId="10" fontId="13" fillId="0" borderId="0" xfId="1" applyNumberFormat="1" applyFont="1" applyAlignment="1">
      <alignment horizontal="right"/>
    </xf>
    <xf numFmtId="0" fontId="21" fillId="0" borderId="0" xfId="0" applyFont="1"/>
    <xf numFmtId="170" fontId="2" fillId="2" borderId="0" xfId="0" applyNumberFormat="1" applyFont="1" applyFill="1" applyAlignment="1">
      <alignment horizontal="right"/>
    </xf>
    <xf numFmtId="39" fontId="0" fillId="0" borderId="0" xfId="0" applyNumberFormat="1"/>
    <xf numFmtId="10" fontId="15" fillId="0" borderId="0" xfId="1" applyNumberFormat="1" applyFont="1"/>
    <xf numFmtId="0" fontId="13" fillId="0" borderId="0" xfId="0" applyFont="1"/>
    <xf numFmtId="0" fontId="0" fillId="16" borderId="0" xfId="0" applyFill="1"/>
    <xf numFmtId="0" fontId="25" fillId="2" borderId="0" xfId="0" applyFont="1" applyFill="1" applyAlignment="1">
      <alignment horizontal="left" vertical="center"/>
    </xf>
    <xf numFmtId="0" fontId="30" fillId="1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3" fontId="29" fillId="10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left" vertical="center"/>
    </xf>
    <xf numFmtId="3" fontId="29" fillId="11" borderId="0" xfId="0" applyNumberFormat="1" applyFont="1" applyFill="1" applyAlignment="1">
      <alignment horizontal="center" vertical="center"/>
    </xf>
    <xf numFmtId="3" fontId="35" fillId="10" borderId="0" xfId="0" applyNumberFormat="1" applyFont="1" applyFill="1" applyAlignment="1">
      <alignment horizontal="center" vertical="center"/>
    </xf>
    <xf numFmtId="165" fontId="29" fillId="10" borderId="0" xfId="0" applyNumberFormat="1" applyFont="1" applyFill="1" applyAlignment="1">
      <alignment horizontal="center" vertical="center"/>
    </xf>
    <xf numFmtId="165" fontId="29" fillId="11" borderId="0" xfId="0" applyNumberFormat="1" applyFont="1" applyFill="1" applyAlignment="1">
      <alignment horizontal="center" vertical="center"/>
    </xf>
    <xf numFmtId="3" fontId="31" fillId="11" borderId="0" xfId="0" applyNumberFormat="1" applyFont="1" applyFill="1" applyAlignment="1">
      <alignment horizontal="center" vertical="center"/>
    </xf>
    <xf numFmtId="10" fontId="29" fillId="10" borderId="0" xfId="0" applyNumberFormat="1" applyFont="1" applyFill="1" applyAlignment="1">
      <alignment horizontal="center" vertical="center"/>
    </xf>
    <xf numFmtId="10" fontId="29" fillId="11" borderId="0" xfId="0" applyNumberFormat="1" applyFont="1" applyFill="1" applyAlignment="1">
      <alignment horizontal="center" vertical="center"/>
    </xf>
    <xf numFmtId="4" fontId="29" fillId="10" borderId="0" xfId="0" applyNumberFormat="1" applyFont="1" applyFill="1" applyAlignment="1">
      <alignment horizontal="center" vertical="center"/>
    </xf>
    <xf numFmtId="4" fontId="29" fillId="11" borderId="0" xfId="0" applyNumberFormat="1" applyFont="1" applyFill="1" applyAlignment="1">
      <alignment horizontal="center" vertical="center"/>
    </xf>
    <xf numFmtId="3" fontId="30" fillId="8" borderId="0" xfId="0" applyNumberFormat="1" applyFont="1" applyFill="1" applyAlignment="1">
      <alignment horizontal="center" vertical="center"/>
    </xf>
    <xf numFmtId="3" fontId="30" fillId="17" borderId="0" xfId="0" applyNumberFormat="1" applyFont="1" applyFill="1" applyAlignment="1">
      <alignment horizontal="center" vertical="center"/>
    </xf>
    <xf numFmtId="3" fontId="30" fillId="14" borderId="0" xfId="0" applyNumberFormat="1" applyFont="1" applyFill="1" applyAlignment="1">
      <alignment horizontal="center" vertical="center"/>
    </xf>
    <xf numFmtId="3" fontId="30" fillId="18" borderId="0" xfId="0" applyNumberFormat="1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9" fontId="30" fillId="19" borderId="0" xfId="1" applyFont="1" applyFill="1" applyBorder="1" applyAlignment="1">
      <alignment horizontal="center" vertical="center"/>
    </xf>
    <xf numFmtId="9" fontId="33" fillId="8" borderId="0" xfId="0" applyNumberFormat="1" applyFont="1" applyFill="1" applyAlignment="1">
      <alignment horizontal="center" vertical="center"/>
    </xf>
    <xf numFmtId="0" fontId="40" fillId="19" borderId="0" xfId="0" applyFont="1" applyFill="1"/>
    <xf numFmtId="0" fontId="41" fillId="0" borderId="0" xfId="0" applyFont="1"/>
    <xf numFmtId="0" fontId="29" fillId="10" borderId="0" xfId="0" applyFont="1" applyFill="1" applyAlignment="1">
      <alignment horizontal="left" vertical="center" wrapText="1"/>
    </xf>
    <xf numFmtId="0" fontId="0" fillId="0" borderId="0" xfId="0"/>
    <xf numFmtId="0" fontId="29" fillId="11" borderId="0" xfId="0" applyFont="1" applyFill="1" applyAlignment="1">
      <alignment horizontal="left" vertical="center" wrapText="1"/>
    </xf>
    <xf numFmtId="0" fontId="34" fillId="12" borderId="0" xfId="0" applyFont="1" applyFill="1" applyAlignment="1">
      <alignment horizontal="center" vertical="center" wrapText="1"/>
    </xf>
    <xf numFmtId="165" fontId="32" fillId="10" borderId="0" xfId="1" applyNumberFormat="1" applyFont="1" applyFill="1" applyBorder="1" applyAlignment="1">
      <alignment horizontal="center" vertical="center"/>
    </xf>
    <xf numFmtId="9" fontId="32" fillId="10" borderId="0" xfId="0" applyNumberFormat="1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0" fillId="19" borderId="0" xfId="0" applyFill="1"/>
    <xf numFmtId="0" fontId="33" fillId="9" borderId="0" xfId="0" applyFont="1" applyFill="1" applyAlignment="1">
      <alignment horizontal="center" vertical="center"/>
    </xf>
    <xf numFmtId="165" fontId="32" fillId="6" borderId="0" xfId="1" applyNumberFormat="1" applyFont="1" applyFill="1" applyBorder="1" applyAlignment="1">
      <alignment horizontal="center" vertical="center"/>
    </xf>
    <xf numFmtId="10" fontId="28" fillId="11" borderId="0" xfId="0" applyNumberFormat="1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center" vertical="center"/>
    </xf>
    <xf numFmtId="9" fontId="32" fillId="11" borderId="0" xfId="0" applyNumberFormat="1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left" vertical="center"/>
    </xf>
    <xf numFmtId="0" fontId="30" fillId="19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0" fontId="32" fillId="11" borderId="0" xfId="0" applyFont="1" applyFill="1" applyAlignment="1">
      <alignment horizontal="left" vertical="center"/>
    </xf>
    <xf numFmtId="2" fontId="27" fillId="11" borderId="0" xfId="0" applyNumberFormat="1" applyFont="1" applyFill="1" applyAlignment="1">
      <alignment horizontal="center" vertical="center"/>
    </xf>
    <xf numFmtId="2" fontId="0" fillId="0" borderId="0" xfId="0" applyNumberFormat="1"/>
    <xf numFmtId="0" fontId="32" fillId="10" borderId="0" xfId="0" applyFont="1" applyFill="1" applyAlignment="1">
      <alignment horizontal="left" vertical="center"/>
    </xf>
    <xf numFmtId="2" fontId="27" fillId="10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0" fillId="2" borderId="0" xfId="0" applyFill="1"/>
    <xf numFmtId="172" fontId="38" fillId="2" borderId="0" xfId="0" applyNumberFormat="1" applyFont="1" applyFill="1" applyAlignment="1">
      <alignment horizontal="center" vertical="center"/>
    </xf>
    <xf numFmtId="172" fontId="4" fillId="2" borderId="0" xfId="0" applyNumberFormat="1" applyFont="1" applyFill="1"/>
    <xf numFmtId="0" fontId="37" fillId="11" borderId="0" xfId="0" applyFont="1" applyFill="1" applyAlignment="1">
      <alignment horizontal="left" vertical="center"/>
    </xf>
    <xf numFmtId="171" fontId="27" fillId="11" borderId="0" xfId="0" applyNumberFormat="1" applyFont="1" applyFill="1" applyAlignment="1">
      <alignment horizontal="center" vertical="center"/>
    </xf>
    <xf numFmtId="171" fontId="27" fillId="10" borderId="0" xfId="0" applyNumberFormat="1" applyFont="1" applyFill="1" applyAlignment="1">
      <alignment horizontal="center" vertical="center"/>
    </xf>
    <xf numFmtId="171" fontId="0" fillId="0" borderId="0" xfId="0" applyNumberFormat="1"/>
    <xf numFmtId="0" fontId="36" fillId="12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left" vertical="center" wrapText="1"/>
    </xf>
    <xf numFmtId="0" fontId="27" fillId="11" borderId="0" xfId="0" applyFont="1" applyFill="1" applyAlignment="1">
      <alignment horizontal="left" vertical="center" wrapText="1"/>
    </xf>
    <xf numFmtId="0" fontId="26" fillId="10" borderId="0" xfId="0" applyFont="1" applyFill="1" applyAlignment="1">
      <alignment horizontal="left" vertical="center" wrapText="1"/>
    </xf>
    <xf numFmtId="0" fontId="27" fillId="10" borderId="0" xfId="0" applyFont="1" applyFill="1" applyAlignment="1">
      <alignment horizontal="left" vertical="center" wrapText="1"/>
    </xf>
    <xf numFmtId="0" fontId="23" fillId="7" borderId="0" xfId="0" applyFont="1" applyFill="1" applyAlignment="1">
      <alignment horizontal="center" vertical="center"/>
    </xf>
    <xf numFmtId="2" fontId="24" fillId="9" borderId="0" xfId="0" applyNumberFormat="1" applyFont="1" applyFill="1" applyAlignment="1">
      <alignment horizontal="center" vertical="center"/>
    </xf>
    <xf numFmtId="10" fontId="24" fillId="9" borderId="0" xfId="0" applyNumberFormat="1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" fillId="2" borderId="0" xfId="0" applyFont="1" applyFill="1"/>
    <xf numFmtId="0" fontId="40" fillId="19" borderId="0" xfId="0" applyFont="1" applyFill="1" applyAlignment="1">
      <alignment horizontal="center" vertical="center"/>
    </xf>
    <xf numFmtId="0" fontId="40" fillId="19" borderId="0" xfId="0" applyFont="1" applyFill="1"/>
    <xf numFmtId="0" fontId="10" fillId="5" borderId="4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61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D9A6A-21EC-ED1C-27D0-B5B1E98D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2A118A-ADDC-92EE-E7D0-9FE5F3885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76200</xdr:colOff>
      <xdr:row>20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ADB95D-D858-5FE3-8EA1-B2D901F9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76200</xdr:colOff>
      <xdr:row>22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AC444A-D603-D09D-44EC-9C2543DE9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76200</xdr:colOff>
      <xdr:row>32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6C859D-181D-A270-C2C9-280756768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76200</xdr:colOff>
      <xdr:row>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8AF827-A106-D3EC-C4AC-99EC7B3EA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76200</xdr:colOff>
      <xdr:row>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D8409C-0ED2-1561-2315-245BFB71E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76200</xdr:colOff>
      <xdr:row>18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5E7040-B463-AE0D-5F34-3A43A2BC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35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76200</xdr:colOff>
      <xdr:row>20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5653DE7-1FD2-A121-A28A-5FD925C6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03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76200</xdr:colOff>
      <xdr:row>30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D6086A-8053-80ED-61AC-0EE9FBC1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27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166F6-20A0-3696-B9B3-E79CABB3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F42E12-B07D-16C0-E2B8-5962990AA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76200</xdr:colOff>
      <xdr:row>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5AFAF3-CD54-780C-968C-99936C2C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76200</xdr:colOff>
      <xdr:row>5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042B64-62BB-D827-DEC6-0CBD112E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1C8E2-E223-96F5-ADCF-223B06A2C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756AC-A68C-740C-56FB-26BA816B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76200</xdr:colOff>
      <xdr:row>19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DA9904-7D44-3D6A-66D8-6EA99230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76200</xdr:colOff>
      <xdr:row>21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196B9C-F16C-7146-26E8-58BA3FD2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76200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C8D641-8497-1AC9-F81D-6F5C41A13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5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76200</xdr:colOff>
      <xdr:row>5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D868B0-A545-2C38-1687-702C4DCF1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5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76200</xdr:colOff>
      <xdr:row>19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4F061C-17B6-9516-7DAD-0C3472A4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81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76200</xdr:colOff>
      <xdr:row>21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04F27E-6D05-B2BE-50E0-06D34A66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49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903A-1AC4-4928-9DD9-DBCA5501F215}">
  <dimension ref="A1:U70"/>
  <sheetViews>
    <sheetView showGridLines="0" tabSelected="1" zoomScale="123" workbookViewId="0">
      <selection activeCell="J3" sqref="J3:M3"/>
    </sheetView>
  </sheetViews>
  <sheetFormatPr defaultRowHeight="14.5" x14ac:dyDescent="0.35"/>
  <cols>
    <col min="1" max="1" width="2" customWidth="1"/>
    <col min="2" max="2" width="14" customWidth="1"/>
    <col min="3" max="12" width="10" customWidth="1"/>
    <col min="13" max="19" width="10" hidden="1" customWidth="1"/>
    <col min="20" max="20" width="10" customWidth="1"/>
    <col min="21" max="21" width="2" customWidth="1"/>
  </cols>
  <sheetData>
    <row r="1" spans="1:21" ht="22" customHeight="1" x14ac:dyDescent="0.35">
      <c r="A1" s="48"/>
      <c r="B1" s="160" t="s">
        <v>342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64"/>
    </row>
    <row r="2" spans="1:21" ht="22" customHeight="1" x14ac:dyDescent="0.35">
      <c r="A2" s="48"/>
      <c r="B2" s="161" t="s">
        <v>343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64"/>
    </row>
    <row r="3" spans="1:21" ht="22" customHeight="1" x14ac:dyDescent="0.35">
      <c r="A3" s="48"/>
      <c r="B3" s="163" t="s">
        <v>344</v>
      </c>
      <c r="C3" s="164"/>
      <c r="D3" s="164"/>
      <c r="E3" s="164"/>
      <c r="F3" s="163" t="s">
        <v>345</v>
      </c>
      <c r="G3" s="164"/>
      <c r="H3" s="164"/>
      <c r="I3" s="164"/>
      <c r="J3" s="163" t="s">
        <v>346</v>
      </c>
      <c r="K3" s="164"/>
      <c r="L3" s="164"/>
      <c r="M3" s="164"/>
      <c r="N3" s="163" t="s">
        <v>347</v>
      </c>
      <c r="O3" s="164"/>
      <c r="P3" s="164"/>
      <c r="Q3" s="164"/>
      <c r="R3" s="163" t="s">
        <v>348</v>
      </c>
      <c r="S3" s="164"/>
      <c r="T3" s="164"/>
      <c r="U3" s="113"/>
    </row>
    <row r="4" spans="1:21" ht="22" customHeight="1" x14ac:dyDescent="0.35">
      <c r="A4" s="48"/>
      <c r="B4" s="156" t="s">
        <v>349</v>
      </c>
      <c r="C4" s="116"/>
      <c r="D4" s="116"/>
      <c r="E4" s="116"/>
      <c r="F4" s="157">
        <f>Valuation_Sensitivity!C9</f>
        <v>119.09690884211273</v>
      </c>
      <c r="G4" s="138"/>
      <c r="H4" s="138"/>
      <c r="I4" s="138"/>
      <c r="J4" s="158">
        <f>'Output (IC Memo Ready)'!C6</f>
        <v>0.15999999999999992</v>
      </c>
      <c r="K4" s="116"/>
      <c r="L4" s="116"/>
      <c r="M4" s="116"/>
      <c r="N4" s="159"/>
      <c r="O4" s="116"/>
      <c r="P4" s="116"/>
      <c r="Q4" s="116"/>
      <c r="R4" s="157">
        <f>Valuation_Sensitivity!C8</f>
        <v>1.6256997974478893</v>
      </c>
      <c r="S4" s="138"/>
      <c r="T4" s="138"/>
      <c r="U4" s="64"/>
    </row>
    <row r="5" spans="1:21" s="48" customFormat="1" ht="6" customHeight="1" x14ac:dyDescent="0.35"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1" ht="20" customHeight="1" x14ac:dyDescent="0.35">
      <c r="B6" s="90" t="s">
        <v>350</v>
      </c>
      <c r="C6" s="64"/>
      <c r="D6" s="64"/>
      <c r="E6" s="64"/>
      <c r="F6" s="64"/>
      <c r="G6" s="64"/>
      <c r="H6" s="64"/>
      <c r="I6" s="64"/>
      <c r="J6" s="64"/>
      <c r="K6" s="64"/>
      <c r="M6" t="s">
        <v>351</v>
      </c>
      <c r="N6" t="s">
        <v>12</v>
      </c>
      <c r="O6" t="s">
        <v>13</v>
      </c>
      <c r="P6" t="s">
        <v>14</v>
      </c>
      <c r="Q6" t="s">
        <v>15</v>
      </c>
      <c r="R6" t="s">
        <v>1</v>
      </c>
    </row>
    <row r="7" spans="1:21" ht="28" customHeight="1" x14ac:dyDescent="0.35">
      <c r="B7" s="154" t="s">
        <v>270</v>
      </c>
      <c r="C7" s="116"/>
      <c r="D7" s="116"/>
      <c r="E7" s="155" t="s">
        <v>352</v>
      </c>
      <c r="F7" s="116"/>
      <c r="G7" s="116"/>
      <c r="H7" s="116"/>
      <c r="I7" s="116"/>
      <c r="J7" s="116"/>
      <c r="K7" s="116"/>
      <c r="M7" t="s">
        <v>4</v>
      </c>
      <c r="N7">
        <v>31116</v>
      </c>
      <c r="O7">
        <v>36961</v>
      </c>
      <c r="P7">
        <v>44109</v>
      </c>
      <c r="Q7">
        <v>60811</v>
      </c>
      <c r="R7">
        <v>68000</v>
      </c>
    </row>
    <row r="8" spans="1:21" ht="28" customHeight="1" x14ac:dyDescent="0.35">
      <c r="B8" s="152" t="s">
        <v>59</v>
      </c>
      <c r="C8" s="116"/>
      <c r="D8" s="116"/>
      <c r="E8" s="153" t="s">
        <v>353</v>
      </c>
      <c r="F8" s="116"/>
      <c r="G8" s="116"/>
      <c r="H8" s="116"/>
      <c r="I8" s="116"/>
      <c r="J8" s="116"/>
      <c r="K8" s="116"/>
      <c r="M8" t="s">
        <v>354</v>
      </c>
      <c r="N8">
        <v>80500</v>
      </c>
      <c r="O8">
        <v>99500</v>
      </c>
      <c r="P8">
        <v>120500</v>
      </c>
      <c r="Q8">
        <v>152000</v>
      </c>
      <c r="R8">
        <v>170000</v>
      </c>
    </row>
    <row r="9" spans="1:21" ht="28" customHeight="1" x14ac:dyDescent="0.35">
      <c r="B9" s="154" t="s">
        <v>96</v>
      </c>
      <c r="C9" s="116"/>
      <c r="D9" s="116"/>
      <c r="E9" s="155" t="s">
        <v>355</v>
      </c>
      <c r="F9" s="116"/>
      <c r="G9" s="116"/>
      <c r="H9" s="116"/>
      <c r="I9" s="116"/>
      <c r="J9" s="116"/>
      <c r="K9" s="116"/>
      <c r="M9" t="s">
        <v>356</v>
      </c>
      <c r="N9">
        <v>1131900</v>
      </c>
      <c r="O9">
        <v>1360000</v>
      </c>
      <c r="P9">
        <v>1600000</v>
      </c>
      <c r="Q9">
        <v>2481200</v>
      </c>
      <c r="R9">
        <v>2722000</v>
      </c>
    </row>
    <row r="10" spans="1:21" ht="28" customHeight="1" x14ac:dyDescent="0.35">
      <c r="B10" s="152" t="s">
        <v>357</v>
      </c>
      <c r="C10" s="116"/>
      <c r="D10" s="116"/>
      <c r="E10" s="153" t="s">
        <v>358</v>
      </c>
      <c r="F10" s="116"/>
      <c r="G10" s="116"/>
      <c r="H10" s="116"/>
      <c r="I10" s="116"/>
      <c r="J10" s="116"/>
      <c r="K10" s="116"/>
      <c r="M10" t="s">
        <v>359</v>
      </c>
      <c r="N10">
        <v>0.16500000000000001</v>
      </c>
      <c r="O10">
        <v>0.16900000000000001</v>
      </c>
      <c r="P10">
        <v>0.17199999999999999</v>
      </c>
      <c r="Q10">
        <v>0.14099999999999999</v>
      </c>
      <c r="R10">
        <v>0.13</v>
      </c>
    </row>
    <row r="12" spans="1:21" ht="20" customHeight="1" x14ac:dyDescent="0.35">
      <c r="B12" s="90" t="s">
        <v>360</v>
      </c>
      <c r="C12" s="64"/>
      <c r="D12" s="64"/>
      <c r="E12" s="64"/>
      <c r="F12" s="64"/>
      <c r="G12" s="64"/>
      <c r="H12" s="48"/>
      <c r="I12" s="48"/>
      <c r="J12" s="48"/>
      <c r="K12" s="48"/>
    </row>
    <row r="13" spans="1:21" ht="18" customHeight="1" x14ac:dyDescent="0.35">
      <c r="B13" s="91" t="s">
        <v>361</v>
      </c>
      <c r="C13" s="91" t="s">
        <v>12</v>
      </c>
      <c r="D13" s="91" t="s">
        <v>13</v>
      </c>
      <c r="E13" s="91" t="s">
        <v>14</v>
      </c>
      <c r="F13" s="91" t="s">
        <v>15</v>
      </c>
      <c r="G13" s="91" t="s">
        <v>1</v>
      </c>
    </row>
    <row r="14" spans="1:21" ht="15" customHeight="1" x14ac:dyDescent="0.35">
      <c r="B14" s="92" t="s">
        <v>362</v>
      </c>
      <c r="C14" s="93">
        <f>Historical_Financials!C8</f>
        <v>69304.81</v>
      </c>
      <c r="D14" s="93">
        <f>Historical_Financials!D8</f>
        <v>77352.08</v>
      </c>
      <c r="E14" s="93">
        <f>Historical_Financials!E8</f>
        <v>92974.109999999986</v>
      </c>
      <c r="F14" s="93">
        <f>Historical_Financials!F8</f>
        <v>129510.47000000003</v>
      </c>
      <c r="G14" s="93">
        <f>Historical_Financials!G8</f>
        <v>152473.22999999998</v>
      </c>
    </row>
    <row r="15" spans="1:21" ht="15" customHeight="1" x14ac:dyDescent="0.35">
      <c r="B15" s="94" t="s">
        <v>363</v>
      </c>
      <c r="C15" s="95">
        <f>Historical_Financials!C10</f>
        <v>96637.69</v>
      </c>
      <c r="D15" s="95">
        <f>Historical_Financials!D10</f>
        <v>109111.07</v>
      </c>
      <c r="E15" s="95">
        <f>Historical_Financials!E10</f>
        <v>126886.15999999999</v>
      </c>
      <c r="F15" s="95">
        <f>Historical_Financials!F10</f>
        <v>253856.22000000003</v>
      </c>
      <c r="G15" s="95">
        <f>Historical_Financials!G10</f>
        <v>287021.73</v>
      </c>
    </row>
    <row r="16" spans="1:21" ht="15" customHeight="1" x14ac:dyDescent="0.35">
      <c r="B16" s="92" t="s">
        <v>4</v>
      </c>
      <c r="C16" s="96">
        <f>Historical_Financials!C13</f>
        <v>31856.760000000002</v>
      </c>
      <c r="D16" s="96">
        <f>Historical_Financials!D13</f>
        <v>38150.900000000009</v>
      </c>
      <c r="E16" s="96">
        <f>Historical_Financials!E13</f>
        <v>46148.699999999983</v>
      </c>
      <c r="F16" s="96">
        <f>Historical_Financials!F13</f>
        <v>65446.500000000029</v>
      </c>
      <c r="G16" s="96">
        <f>Historical_Financials!G13</f>
        <v>73440.169999999984</v>
      </c>
    </row>
    <row r="17" spans="2:11" ht="15" customHeight="1" x14ac:dyDescent="0.35">
      <c r="B17" s="94" t="s">
        <v>356</v>
      </c>
      <c r="C17" s="95">
        <f>Historical_Financials!C19</f>
        <v>1185283.52</v>
      </c>
      <c r="D17" s="95">
        <f>Historical_Financials!D19</f>
        <v>1420942.28</v>
      </c>
      <c r="E17" s="95">
        <f>Historical_Financials!E19</f>
        <v>1661949.29</v>
      </c>
      <c r="F17" s="95">
        <f>Historical_Financials!F19</f>
        <v>2565891.41</v>
      </c>
      <c r="G17" s="95">
        <f>Historical_Financials!G19</f>
        <v>2724938.16</v>
      </c>
    </row>
    <row r="18" spans="2:11" ht="15" customHeight="1" x14ac:dyDescent="0.35">
      <c r="B18" s="92" t="s">
        <v>364</v>
      </c>
      <c r="C18" s="97">
        <f>C16/Historical_Financials!C16</f>
        <v>0.15183609528212144</v>
      </c>
      <c r="D18" s="97">
        <f>D16/Historical_Financials!D16</f>
        <v>0.15425338936029295</v>
      </c>
      <c r="E18" s="97">
        <f>E16/Historical_Financials!E16</f>
        <v>0.1594427121572014</v>
      </c>
      <c r="F18" s="97">
        <f>F16/Historical_Financials!F16</f>
        <v>0.14339873169144515</v>
      </c>
      <c r="G18" s="97">
        <f>G16/Historical_Financials!G16</f>
        <v>0.14074676757992335</v>
      </c>
    </row>
    <row r="19" spans="2:11" ht="15" customHeight="1" x14ac:dyDescent="0.35">
      <c r="B19" s="94" t="s">
        <v>365</v>
      </c>
      <c r="C19" s="98">
        <f>Historical_Financials!C8/(Historical_Financials!C19+Historical_Financials!C20)</f>
        <v>4.2672573782917202E-2</v>
      </c>
      <c r="D19" s="98">
        <f>Historical_Financials!D8/(Historical_Financials!D19+Historical_Financials!D20)</f>
        <v>4.1360189310468198E-2</v>
      </c>
      <c r="E19" s="98">
        <f>Historical_Financials!E8/(Historical_Financials!E19+Historical_Financials!E20)</f>
        <v>4.2775607985347339E-2</v>
      </c>
      <c r="F19" s="98">
        <f>Historical_Financials!F8/(Historical_Financials!F19+Historical_Financials!F20)</f>
        <v>3.626146478023589E-2</v>
      </c>
      <c r="G19" s="98">
        <f>Historical_Financials!G8/(Historical_Financials!G19+Historical_Financials!G20)</f>
        <v>3.8981643210319196E-2</v>
      </c>
    </row>
    <row r="20" spans="2:11" ht="15" customHeight="1" x14ac:dyDescent="0.35">
      <c r="B20" s="92" t="s">
        <v>366</v>
      </c>
      <c r="C20" s="97">
        <v>1.32E-2</v>
      </c>
      <c r="D20" s="97">
        <v>1.17E-2</v>
      </c>
      <c r="E20" s="97">
        <v>1.12E-2</v>
      </c>
      <c r="F20" s="97">
        <v>1.24E-2</v>
      </c>
      <c r="G20" s="97">
        <v>1.2999999999999999E-2</v>
      </c>
    </row>
    <row r="22" spans="2:11" ht="20" customHeight="1" x14ac:dyDescent="0.35">
      <c r="B22" s="90" t="s">
        <v>367</v>
      </c>
      <c r="C22" s="64"/>
      <c r="D22" s="64"/>
      <c r="E22" s="64"/>
      <c r="F22" s="64"/>
      <c r="G22" s="64"/>
      <c r="H22" s="48"/>
      <c r="I22" s="48"/>
      <c r="J22" s="48"/>
      <c r="K22" s="48"/>
    </row>
    <row r="23" spans="2:11" ht="18" customHeight="1" x14ac:dyDescent="0.35">
      <c r="B23" s="91" t="s">
        <v>361</v>
      </c>
      <c r="C23" s="91" t="s">
        <v>361</v>
      </c>
      <c r="D23" s="91" t="s">
        <v>361</v>
      </c>
      <c r="E23" s="91" t="s">
        <v>361</v>
      </c>
      <c r="F23" s="91" t="s">
        <v>361</v>
      </c>
      <c r="G23" s="91" t="s">
        <v>361</v>
      </c>
    </row>
    <row r="24" spans="2:11" ht="15" customHeight="1" x14ac:dyDescent="0.35">
      <c r="B24" s="92" t="s">
        <v>356</v>
      </c>
      <c r="C24" s="93">
        <f>Forecast_Model!C5</f>
        <v>3160928.2656</v>
      </c>
      <c r="D24" s="93">
        <f>Forecast_Model!D5</f>
        <v>3666676.788096</v>
      </c>
      <c r="E24" s="93">
        <f>Forecast_Model!E5</f>
        <v>4253345.0741913598</v>
      </c>
      <c r="F24" s="93">
        <f>Forecast_Model!F5</f>
        <v>4933880.286061977</v>
      </c>
      <c r="G24" s="93">
        <f>Forecast_Model!G5</f>
        <v>5723301.1318318928</v>
      </c>
    </row>
    <row r="25" spans="2:11" ht="15" customHeight="1" x14ac:dyDescent="0.35">
      <c r="B25" s="94" t="s">
        <v>8</v>
      </c>
      <c r="C25" s="99">
        <f>Forecast_Model!C14</f>
        <v>48558.398011199999</v>
      </c>
      <c r="D25" s="99">
        <f>Forecast_Model!D14</f>
        <v>66569.149273536023</v>
      </c>
      <c r="E25" s="99">
        <f>Forecast_Model!E14</f>
        <v>89100.245950732788</v>
      </c>
      <c r="F25" s="99">
        <f>Forecast_Model!F14</f>
        <v>111624.78812707806</v>
      </c>
      <c r="G25" s="99">
        <f>Forecast_Model!G14</f>
        <v>135879.06307814686</v>
      </c>
    </row>
    <row r="26" spans="2:11" ht="15" customHeight="1" x14ac:dyDescent="0.35">
      <c r="B26" s="92" t="s">
        <v>364</v>
      </c>
      <c r="C26" s="100">
        <f>Forecast_Model!C15</f>
        <v>9.3061298182395003E-2</v>
      </c>
      <c r="D26" s="100">
        <f>Forecast_Model!D15</f>
        <v>0.11873860472964164</v>
      </c>
      <c r="E26" s="100">
        <f>Forecast_Model!E15</f>
        <v>0.14514007186255665</v>
      </c>
      <c r="F26" s="100">
        <f>Forecast_Model!F15</f>
        <v>0.16291507721753359</v>
      </c>
      <c r="G26" s="100">
        <f>Forecast_Model!G15</f>
        <v>0.17544747735389421</v>
      </c>
    </row>
    <row r="27" spans="2:11" ht="15" customHeight="1" x14ac:dyDescent="0.35">
      <c r="B27" s="94" t="s">
        <v>365</v>
      </c>
      <c r="C27" s="101">
        <f>Control_Panel!$C$18</f>
        <v>5.8000000000000003E-2</v>
      </c>
      <c r="D27" s="101">
        <f>Control_Panel!$C$18</f>
        <v>5.8000000000000003E-2</v>
      </c>
      <c r="E27" s="101">
        <f>Control_Panel!$C$18</f>
        <v>5.8000000000000003E-2</v>
      </c>
      <c r="F27" s="101">
        <f>Control_Panel!$C$18</f>
        <v>5.8000000000000003E-2</v>
      </c>
      <c r="G27" s="101">
        <f>Control_Panel!$C$18</f>
        <v>5.8000000000000003E-2</v>
      </c>
    </row>
    <row r="28" spans="2:11" ht="15" customHeight="1" x14ac:dyDescent="0.35">
      <c r="B28" s="92" t="s">
        <v>368</v>
      </c>
      <c r="C28" s="102">
        <f>Forecast_Model!C19</f>
        <v>6.3451723468977237</v>
      </c>
      <c r="D28" s="102">
        <f>Forecast_Model!D19</f>
        <v>8.6986544537470643</v>
      </c>
      <c r="E28" s="102">
        <f>Forecast_Model!E19</f>
        <v>11.642814422707604</v>
      </c>
      <c r="F28" s="102">
        <f>Forecast_Model!F19</f>
        <v>14.58611790876809</v>
      </c>
      <c r="G28" s="102">
        <f>Forecast_Model!G19</f>
        <v>17.755447232154737</v>
      </c>
    </row>
    <row r="29" spans="2:11" ht="15" customHeight="1" x14ac:dyDescent="0.35">
      <c r="B29" s="94" t="s">
        <v>369</v>
      </c>
      <c r="C29" s="103">
        <f>Valuation!E7</f>
        <v>73.258856911391291</v>
      </c>
      <c r="D29" s="103">
        <f>Valuation!F7</f>
        <v>80.217780474388931</v>
      </c>
      <c r="E29" s="103">
        <f>Valuation!G7</f>
        <v>89.532032012555021</v>
      </c>
      <c r="F29" s="103">
        <f>Valuation!H7</f>
        <v>101.20092633956949</v>
      </c>
      <c r="G29" s="103">
        <f>Valuation!I7</f>
        <v>115.40528412529328</v>
      </c>
    </row>
    <row r="31" spans="2:11" ht="16" customHeight="1" x14ac:dyDescent="0.35">
      <c r="B31" s="149" t="s">
        <v>370</v>
      </c>
      <c r="C31" s="150"/>
      <c r="D31" s="150"/>
      <c r="E31" s="150"/>
      <c r="F31" s="150"/>
      <c r="G31" s="150"/>
      <c r="H31" s="150"/>
      <c r="I31" s="150"/>
      <c r="J31" s="150"/>
      <c r="K31" s="150"/>
    </row>
    <row r="32" spans="2:11" ht="7.5" customHeight="1" x14ac:dyDescent="0.35"/>
    <row r="33" spans="2:11" ht="20" customHeight="1" x14ac:dyDescent="0.35">
      <c r="B33" s="90" t="s">
        <v>371</v>
      </c>
      <c r="C33" s="64"/>
      <c r="D33" s="64"/>
      <c r="E33" s="64"/>
      <c r="F33" s="64"/>
      <c r="G33" s="64"/>
      <c r="H33" s="64"/>
      <c r="I33" s="64"/>
      <c r="J33" s="64"/>
      <c r="K33" s="64"/>
    </row>
    <row r="34" spans="2:11" ht="16" customHeight="1" x14ac:dyDescent="0.35">
      <c r="B34" s="139" t="s">
        <v>372</v>
      </c>
      <c r="C34" s="116"/>
      <c r="D34" s="116"/>
      <c r="E34" s="116"/>
      <c r="F34" s="151" t="s">
        <v>373</v>
      </c>
      <c r="G34" s="116"/>
      <c r="H34" s="116"/>
      <c r="I34" s="116"/>
      <c r="J34" s="116"/>
      <c r="K34" s="116"/>
    </row>
    <row r="35" spans="2:11" ht="16" customHeight="1" x14ac:dyDescent="0.35">
      <c r="B35" s="145" t="s">
        <v>415</v>
      </c>
      <c r="C35" s="116"/>
      <c r="D35" s="116"/>
      <c r="E35" s="116"/>
      <c r="F35" s="146">
        <f>Valuation!I25</f>
        <v>897393.23804854881</v>
      </c>
      <c r="G35" s="146"/>
      <c r="H35" s="146"/>
      <c r="I35" s="146"/>
      <c r="J35" s="146"/>
      <c r="K35" s="146"/>
    </row>
    <row r="36" spans="2:11" ht="16" customHeight="1" x14ac:dyDescent="0.35">
      <c r="B36" s="139" t="s">
        <v>374</v>
      </c>
      <c r="C36" s="116"/>
      <c r="D36" s="116"/>
      <c r="E36" s="116"/>
      <c r="F36" s="147">
        <f>(F35*10)/'Capital_Raising Strategy'!C7</f>
        <v>1172.632333761363</v>
      </c>
      <c r="G36" s="148"/>
      <c r="H36" s="148"/>
      <c r="I36" s="148"/>
      <c r="J36" s="148"/>
      <c r="K36" s="148"/>
    </row>
    <row r="37" spans="2:11" ht="16" customHeight="1" x14ac:dyDescent="0.35">
      <c r="B37" s="136" t="s">
        <v>375</v>
      </c>
      <c r="C37" s="116"/>
      <c r="D37" s="116"/>
      <c r="E37" s="116"/>
      <c r="F37" s="137">
        <f>Valuation_Sensitivity!C8</f>
        <v>1.6256997974478893</v>
      </c>
      <c r="G37" s="138"/>
      <c r="H37" s="138"/>
      <c r="I37" s="138"/>
      <c r="J37" s="138"/>
      <c r="K37" s="138"/>
    </row>
    <row r="38" spans="2:11" ht="16" customHeight="1" x14ac:dyDescent="0.35">
      <c r="B38" s="139" t="s">
        <v>376</v>
      </c>
      <c r="C38" s="116"/>
      <c r="D38" s="116"/>
      <c r="E38" s="116"/>
      <c r="F38" s="140">
        <f>Valuation_Sensitivity!C4</f>
        <v>73.258856911391291</v>
      </c>
      <c r="G38" s="138"/>
      <c r="H38" s="138"/>
      <c r="I38" s="138"/>
      <c r="J38" s="138"/>
      <c r="K38" s="138"/>
    </row>
    <row r="39" spans="2:11" ht="20" customHeight="1" x14ac:dyDescent="0.35">
      <c r="B39" s="141" t="s">
        <v>345</v>
      </c>
      <c r="C39" s="142"/>
      <c r="D39" s="142"/>
      <c r="E39" s="142"/>
      <c r="F39" s="143" t="str">
        <f>F4   &amp; "  →  HOLD"</f>
        <v>119.096908842113  →  HOLD</v>
      </c>
      <c r="G39" s="144"/>
      <c r="H39" s="144"/>
      <c r="I39" s="144"/>
      <c r="J39" s="144"/>
      <c r="K39" s="144"/>
    </row>
    <row r="41" spans="2:11" ht="20" customHeight="1" x14ac:dyDescent="0.35">
      <c r="B41" s="90" t="s">
        <v>377</v>
      </c>
      <c r="C41" s="64"/>
      <c r="D41" s="64"/>
      <c r="E41" s="64"/>
      <c r="F41" s="64"/>
      <c r="G41" s="64"/>
      <c r="H41" s="64"/>
      <c r="I41" s="64"/>
      <c r="J41" s="64"/>
      <c r="K41" s="64"/>
    </row>
    <row r="42" spans="2:11" ht="16" customHeight="1" x14ac:dyDescent="0.35">
      <c r="B42" s="91" t="s">
        <v>378</v>
      </c>
      <c r="C42" s="111">
        <f>Valuation_Sensitivity!C13</f>
        <v>0.11</v>
      </c>
      <c r="D42" s="111">
        <f>Valuation_Sensitivity!D13</f>
        <v>0.12</v>
      </c>
      <c r="E42" s="111">
        <f>Valuation_Sensitivity!E13</f>
        <v>0.13</v>
      </c>
      <c r="F42" s="111">
        <f>Valuation_Sensitivity!F13</f>
        <v>0.14000000000000001</v>
      </c>
    </row>
    <row r="43" spans="2:11" ht="16" customHeight="1" x14ac:dyDescent="0.35">
      <c r="B43" s="112">
        <f>Valuation_Sensitivity!B14</f>
        <v>0.14000000000000001</v>
      </c>
      <c r="C43" s="104">
        <f>Valuation_Sensitivity!C14</f>
        <v>113.19468268720837</v>
      </c>
      <c r="D43" s="105">
        <f>Valuation_Sensitivity!D14</f>
        <v>95.788801461314151</v>
      </c>
      <c r="E43" s="105">
        <f>Valuation_Sensitivity!E14</f>
        <v>83.0224821511176</v>
      </c>
      <c r="F43" s="105">
        <f>Valuation_Sensitivity!F14</f>
        <v>73.258856911391291</v>
      </c>
    </row>
    <row r="44" spans="2:11" ht="16" customHeight="1" x14ac:dyDescent="0.35">
      <c r="B44" s="112">
        <f>Valuation_Sensitivity!B16</f>
        <v>0.16</v>
      </c>
      <c r="C44" s="106">
        <f>Valuation_Sensitivity!C16</f>
        <v>139.81856653775307</v>
      </c>
      <c r="D44" s="104">
        <f>Valuation_Sensitivity!D16</f>
        <v>118.31874601123698</v>
      </c>
      <c r="E44" s="107">
        <f>Valuation_Sensitivity!E16</f>
        <v>102.54973263057022</v>
      </c>
      <c r="F44" s="107">
        <f>Valuation_Sensitivity!F16</f>
        <v>90.489660082792966</v>
      </c>
    </row>
    <row r="45" spans="2:11" ht="16" customHeight="1" x14ac:dyDescent="0.35">
      <c r="B45" s="112">
        <f>Valuation_Sensitivity!B18</f>
        <v>0.18</v>
      </c>
      <c r="C45" s="106">
        <f>Valuation_Sensitivity!C18</f>
        <v>166.44245038829777</v>
      </c>
      <c r="D45" s="106">
        <f>Valuation_Sensitivity!D18</f>
        <v>140.84869056115983</v>
      </c>
      <c r="E45" s="104">
        <f>Valuation_Sensitivity!E18</f>
        <v>122.07698311002284</v>
      </c>
      <c r="F45" s="104">
        <f>Valuation_Sensitivity!F18</f>
        <v>107.72046325419464</v>
      </c>
    </row>
    <row r="47" spans="2:11" ht="20" customHeight="1" x14ac:dyDescent="0.35">
      <c r="B47" s="90" t="s">
        <v>379</v>
      </c>
      <c r="C47" s="64"/>
      <c r="D47" s="64"/>
      <c r="E47" s="64"/>
      <c r="F47" s="64"/>
      <c r="G47" s="64"/>
      <c r="H47" s="64"/>
      <c r="I47" s="64"/>
      <c r="J47" s="64"/>
      <c r="K47" s="64"/>
    </row>
    <row r="48" spans="2:11" ht="18" customHeight="1" x14ac:dyDescent="0.35">
      <c r="B48" s="134" t="s">
        <v>61</v>
      </c>
      <c r="C48" s="134"/>
      <c r="D48" s="134"/>
      <c r="E48" s="134" t="s">
        <v>380</v>
      </c>
      <c r="F48" s="134"/>
      <c r="G48" s="134" t="s">
        <v>381</v>
      </c>
      <c r="H48" s="134"/>
      <c r="I48" s="134"/>
      <c r="J48" s="134"/>
      <c r="K48" s="134"/>
    </row>
    <row r="49" spans="2:11" ht="22" customHeight="1" x14ac:dyDescent="0.35">
      <c r="B49" s="135" t="s">
        <v>382</v>
      </c>
      <c r="C49" s="116"/>
      <c r="D49" s="116"/>
      <c r="E49" s="122" t="s">
        <v>383</v>
      </c>
      <c r="F49" s="116"/>
      <c r="G49" s="115" t="s">
        <v>384</v>
      </c>
      <c r="H49" s="116"/>
      <c r="I49" s="116"/>
      <c r="J49" s="116"/>
      <c r="K49" s="116"/>
    </row>
    <row r="50" spans="2:11" ht="22" customHeight="1" x14ac:dyDescent="0.35">
      <c r="B50" s="133" t="s">
        <v>385</v>
      </c>
      <c r="C50" s="116"/>
      <c r="D50" s="116"/>
      <c r="E50" s="132" t="s">
        <v>386</v>
      </c>
      <c r="F50" s="116"/>
      <c r="G50" s="117" t="s">
        <v>387</v>
      </c>
      <c r="H50" s="116"/>
      <c r="I50" s="116"/>
      <c r="J50" s="116"/>
      <c r="K50" s="116"/>
    </row>
    <row r="51" spans="2:11" ht="22" customHeight="1" x14ac:dyDescent="0.35">
      <c r="B51" s="135" t="s">
        <v>388</v>
      </c>
      <c r="C51" s="116"/>
      <c r="D51" s="116"/>
      <c r="E51" s="132" t="s">
        <v>386</v>
      </c>
      <c r="F51" s="116"/>
      <c r="G51" s="115" t="s">
        <v>389</v>
      </c>
      <c r="H51" s="116"/>
      <c r="I51" s="116"/>
      <c r="J51" s="116"/>
      <c r="K51" s="116"/>
    </row>
    <row r="52" spans="2:11" ht="22" customHeight="1" x14ac:dyDescent="0.35">
      <c r="B52" s="133" t="s">
        <v>390</v>
      </c>
      <c r="C52" s="116"/>
      <c r="D52" s="116"/>
      <c r="E52" s="132" t="s">
        <v>386</v>
      </c>
      <c r="F52" s="116"/>
      <c r="G52" s="117" t="s">
        <v>391</v>
      </c>
      <c r="H52" s="116"/>
      <c r="I52" s="116"/>
      <c r="J52" s="116"/>
      <c r="K52" s="116"/>
    </row>
    <row r="53" spans="2:11" ht="22" customHeight="1" x14ac:dyDescent="0.35">
      <c r="B53" s="135" t="s">
        <v>392</v>
      </c>
      <c r="C53" s="116"/>
      <c r="D53" s="116"/>
      <c r="E53" s="129" t="s">
        <v>393</v>
      </c>
      <c r="F53" s="116"/>
      <c r="G53" s="115" t="s">
        <v>394</v>
      </c>
      <c r="H53" s="116"/>
      <c r="I53" s="116"/>
      <c r="J53" s="116"/>
      <c r="K53" s="116"/>
    </row>
    <row r="54" spans="2:11" ht="22" customHeight="1" x14ac:dyDescent="0.35">
      <c r="B54" s="133" t="s">
        <v>395</v>
      </c>
      <c r="C54" s="116"/>
      <c r="D54" s="116"/>
      <c r="E54" s="129" t="s">
        <v>393</v>
      </c>
      <c r="F54" s="116"/>
      <c r="G54" s="117" t="s">
        <v>396</v>
      </c>
      <c r="H54" s="116"/>
      <c r="I54" s="116"/>
      <c r="J54" s="116"/>
      <c r="K54" s="116"/>
    </row>
    <row r="56" spans="2:11" ht="20" customHeight="1" x14ac:dyDescent="0.35">
      <c r="B56" s="90" t="s">
        <v>350</v>
      </c>
      <c r="C56" s="64"/>
      <c r="D56" s="64"/>
      <c r="E56" s="64"/>
      <c r="F56" s="64"/>
      <c r="G56" s="64"/>
      <c r="H56" s="64"/>
      <c r="I56" s="64"/>
      <c r="J56" s="64"/>
      <c r="K56" s="64"/>
    </row>
    <row r="57" spans="2:11" ht="18" customHeight="1" x14ac:dyDescent="0.35">
      <c r="B57" s="91" t="s">
        <v>397</v>
      </c>
      <c r="C57" s="134" t="s">
        <v>398</v>
      </c>
      <c r="D57" s="124"/>
      <c r="E57" s="134" t="s">
        <v>399</v>
      </c>
      <c r="F57" s="124"/>
      <c r="G57" s="134" t="s">
        <v>238</v>
      </c>
      <c r="H57" s="124"/>
      <c r="I57" s="134" t="s">
        <v>400</v>
      </c>
      <c r="J57" s="124"/>
      <c r="K57" s="124"/>
    </row>
    <row r="58" spans="2:11" ht="16" customHeight="1" x14ac:dyDescent="0.35">
      <c r="B58" s="108">
        <v>90</v>
      </c>
      <c r="C58" s="119">
        <f>($F$4/B58)^(1/3)-1</f>
        <v>9.7874404081801591E-2</v>
      </c>
      <c r="D58" s="119"/>
      <c r="E58" s="120">
        <v>0.32</v>
      </c>
      <c r="F58" s="116"/>
      <c r="G58" s="121" t="s">
        <v>401</v>
      </c>
      <c r="H58" s="116"/>
      <c r="I58" s="129" t="s">
        <v>402</v>
      </c>
      <c r="J58" s="116"/>
      <c r="K58" s="116"/>
    </row>
    <row r="59" spans="2:11" ht="16" customHeight="1" x14ac:dyDescent="0.35">
      <c r="B59" s="109">
        <v>100</v>
      </c>
      <c r="C59" s="126">
        <f t="shared" ref="C59:C62" si="0">($F$4/B59)^(1/3)-1</f>
        <v>5.9986082771211091E-2</v>
      </c>
      <c r="D59" s="126"/>
      <c r="E59" s="130">
        <v>0.19</v>
      </c>
      <c r="F59" s="116"/>
      <c r="G59" s="131" t="s">
        <v>267</v>
      </c>
      <c r="H59" s="116"/>
      <c r="I59" s="132" t="s">
        <v>403</v>
      </c>
      <c r="J59" s="116"/>
      <c r="K59" s="116"/>
    </row>
    <row r="60" spans="2:11" ht="16" customHeight="1" x14ac:dyDescent="0.35">
      <c r="B60" s="108">
        <v>110</v>
      </c>
      <c r="C60" s="119">
        <f t="shared" si="0"/>
        <v>2.6839582493163761E-2</v>
      </c>
      <c r="D60" s="119"/>
      <c r="E60" s="120">
        <v>0.08</v>
      </c>
      <c r="F60" s="116"/>
      <c r="G60" s="121" t="s">
        <v>404</v>
      </c>
      <c r="H60" s="116"/>
      <c r="I60" s="125" t="s">
        <v>349</v>
      </c>
      <c r="J60" s="116"/>
      <c r="K60" s="116"/>
    </row>
    <row r="61" spans="2:11" ht="16" customHeight="1" x14ac:dyDescent="0.35">
      <c r="B61" s="110">
        <v>119</v>
      </c>
      <c r="C61" s="126">
        <f t="shared" si="0"/>
        <v>2.7137968565549286E-4</v>
      </c>
      <c r="D61" s="126"/>
      <c r="E61" s="127">
        <v>0</v>
      </c>
      <c r="F61" s="116"/>
      <c r="G61" s="128" t="s">
        <v>416</v>
      </c>
      <c r="H61" s="116"/>
      <c r="I61" s="125" t="s">
        <v>405</v>
      </c>
      <c r="J61" s="116"/>
      <c r="K61" s="116"/>
    </row>
    <row r="62" spans="2:11" ht="16" customHeight="1" x14ac:dyDescent="0.35">
      <c r="B62" s="108">
        <v>120</v>
      </c>
      <c r="C62" s="119">
        <f t="shared" si="0"/>
        <v>-2.5149059998224033E-3</v>
      </c>
      <c r="D62" s="119"/>
      <c r="E62" s="120">
        <v>-0.01</v>
      </c>
      <c r="F62" s="116"/>
      <c r="G62" s="121" t="s">
        <v>406</v>
      </c>
      <c r="H62" s="116"/>
      <c r="I62" s="122" t="s">
        <v>407</v>
      </c>
      <c r="J62" s="116"/>
      <c r="K62" s="116"/>
    </row>
    <row r="64" spans="2:11" ht="20" customHeight="1" x14ac:dyDescent="0.35">
      <c r="B64" s="90" t="s">
        <v>408</v>
      </c>
      <c r="C64" s="64"/>
      <c r="D64" s="64"/>
      <c r="E64" s="64"/>
      <c r="F64" s="64"/>
      <c r="G64" s="64"/>
      <c r="H64" s="64"/>
      <c r="I64" s="64"/>
      <c r="J64" s="64"/>
      <c r="K64" s="64"/>
    </row>
    <row r="65" spans="2:11" ht="24" customHeight="1" x14ac:dyDescent="0.35">
      <c r="B65" s="123" t="s">
        <v>409</v>
      </c>
      <c r="C65" s="124"/>
      <c r="D65" s="124"/>
      <c r="E65" s="124"/>
      <c r="F65" s="124"/>
      <c r="G65" s="124"/>
      <c r="H65" s="124"/>
      <c r="I65" s="124"/>
      <c r="J65" s="124"/>
      <c r="K65" s="124"/>
    </row>
    <row r="66" spans="2:11" ht="20" customHeight="1" x14ac:dyDescent="0.35">
      <c r="B66" s="115" t="s">
        <v>410</v>
      </c>
      <c r="C66" s="116"/>
      <c r="D66" s="116"/>
      <c r="E66" s="116"/>
      <c r="F66" s="116"/>
      <c r="G66" s="116"/>
      <c r="H66" s="116"/>
      <c r="I66" s="116"/>
      <c r="J66" s="116"/>
      <c r="K66" s="116"/>
    </row>
    <row r="67" spans="2:11" ht="20" customHeight="1" x14ac:dyDescent="0.35">
      <c r="B67" s="117" t="s">
        <v>411</v>
      </c>
      <c r="C67" s="116"/>
      <c r="D67" s="116"/>
      <c r="E67" s="116"/>
      <c r="F67" s="116"/>
      <c r="G67" s="116"/>
      <c r="H67" s="116"/>
      <c r="I67" s="116"/>
      <c r="J67" s="116"/>
      <c r="K67" s="116"/>
    </row>
    <row r="68" spans="2:11" ht="20" customHeight="1" x14ac:dyDescent="0.35">
      <c r="B68" s="115" t="s">
        <v>412</v>
      </c>
      <c r="C68" s="116"/>
      <c r="D68" s="116"/>
      <c r="E68" s="116"/>
      <c r="F68" s="116"/>
      <c r="G68" s="116"/>
      <c r="H68" s="116"/>
      <c r="I68" s="116"/>
      <c r="J68" s="116"/>
      <c r="K68" s="116"/>
    </row>
    <row r="69" spans="2:11" ht="20" customHeight="1" x14ac:dyDescent="0.35">
      <c r="B69" s="117" t="s">
        <v>413</v>
      </c>
      <c r="C69" s="116"/>
      <c r="D69" s="116"/>
      <c r="E69" s="116"/>
      <c r="F69" s="116"/>
      <c r="G69" s="116"/>
      <c r="H69" s="116"/>
      <c r="I69" s="116"/>
      <c r="J69" s="116"/>
      <c r="K69" s="116"/>
    </row>
    <row r="70" spans="2:11" ht="28" customHeight="1" x14ac:dyDescent="0.35">
      <c r="B70" s="118" t="s">
        <v>414</v>
      </c>
      <c r="C70" s="116"/>
      <c r="D70" s="116"/>
      <c r="E70" s="116"/>
      <c r="F70" s="116"/>
      <c r="G70" s="116"/>
      <c r="H70" s="116"/>
      <c r="I70" s="116"/>
      <c r="J70" s="116"/>
      <c r="K70" s="116"/>
    </row>
  </sheetData>
  <mergeCells count="84">
    <mergeCell ref="B1:T1"/>
    <mergeCell ref="B2:T2"/>
    <mergeCell ref="B3:E3"/>
    <mergeCell ref="F3:I3"/>
    <mergeCell ref="J3:M3"/>
    <mergeCell ref="N3:Q3"/>
    <mergeCell ref="R3:T3"/>
    <mergeCell ref="B4:E4"/>
    <mergeCell ref="F4:I4"/>
    <mergeCell ref="J4:M4"/>
    <mergeCell ref="N4:Q4"/>
    <mergeCell ref="R4:T4"/>
    <mergeCell ref="B10:D10"/>
    <mergeCell ref="E10:K10"/>
    <mergeCell ref="B7:D7"/>
    <mergeCell ref="E7:K7"/>
    <mergeCell ref="B8:D8"/>
    <mergeCell ref="E8:K8"/>
    <mergeCell ref="B9:D9"/>
    <mergeCell ref="E9:K9"/>
    <mergeCell ref="B35:E35"/>
    <mergeCell ref="F35:K35"/>
    <mergeCell ref="B36:E36"/>
    <mergeCell ref="F36:K36"/>
    <mergeCell ref="B31:K31"/>
    <mergeCell ref="B34:E34"/>
    <mergeCell ref="F34:K34"/>
    <mergeCell ref="B37:E37"/>
    <mergeCell ref="F37:K37"/>
    <mergeCell ref="B38:E38"/>
    <mergeCell ref="F38:K38"/>
    <mergeCell ref="B39:E39"/>
    <mergeCell ref="F39:K39"/>
    <mergeCell ref="B48:D48"/>
    <mergeCell ref="E48:F48"/>
    <mergeCell ref="G48:K48"/>
    <mergeCell ref="B49:D49"/>
    <mergeCell ref="E49:F49"/>
    <mergeCell ref="G49:K49"/>
    <mergeCell ref="B50:D50"/>
    <mergeCell ref="E50:F50"/>
    <mergeCell ref="G50:K50"/>
    <mergeCell ref="B51:D51"/>
    <mergeCell ref="E51:F51"/>
    <mergeCell ref="G51:K51"/>
    <mergeCell ref="B52:D52"/>
    <mergeCell ref="E52:F52"/>
    <mergeCell ref="G52:K52"/>
    <mergeCell ref="B53:D53"/>
    <mergeCell ref="E53:F53"/>
    <mergeCell ref="G53:K53"/>
    <mergeCell ref="B54:D54"/>
    <mergeCell ref="E54:F54"/>
    <mergeCell ref="G54:K54"/>
    <mergeCell ref="C57:D57"/>
    <mergeCell ref="E57:F57"/>
    <mergeCell ref="G57:H57"/>
    <mergeCell ref="I57:K57"/>
    <mergeCell ref="C58:D58"/>
    <mergeCell ref="E58:F58"/>
    <mergeCell ref="G58:H58"/>
    <mergeCell ref="I58:K58"/>
    <mergeCell ref="C59:D59"/>
    <mergeCell ref="E59:F59"/>
    <mergeCell ref="G59:H59"/>
    <mergeCell ref="I59:K59"/>
    <mergeCell ref="C60:D60"/>
    <mergeCell ref="E60:F60"/>
    <mergeCell ref="G60:H60"/>
    <mergeCell ref="I60:K60"/>
    <mergeCell ref="C61:D61"/>
    <mergeCell ref="E61:F61"/>
    <mergeCell ref="G61:H61"/>
    <mergeCell ref="I61:K61"/>
    <mergeCell ref="C62:D62"/>
    <mergeCell ref="E62:F62"/>
    <mergeCell ref="G62:H62"/>
    <mergeCell ref="I62:K62"/>
    <mergeCell ref="B65:K65"/>
    <mergeCell ref="B66:K66"/>
    <mergeCell ref="B67:K67"/>
    <mergeCell ref="B68:K68"/>
    <mergeCell ref="B69:K69"/>
    <mergeCell ref="B70:K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08ED-FDBF-4F8C-95D6-41871068BD04}">
  <dimension ref="A1:F30"/>
  <sheetViews>
    <sheetView showGridLines="0" zoomScale="69" workbookViewId="0">
      <selection activeCell="B1" sqref="B1"/>
    </sheetView>
  </sheetViews>
  <sheetFormatPr defaultRowHeight="14.5" x14ac:dyDescent="0.35"/>
  <cols>
    <col min="1" max="1" width="1.90625" customWidth="1"/>
    <col min="2" max="6" width="21.6328125" customWidth="1"/>
  </cols>
  <sheetData>
    <row r="1" spans="1:6" ht="21" x14ac:dyDescent="0.5">
      <c r="B1" s="114" t="s">
        <v>417</v>
      </c>
    </row>
    <row r="3" spans="1:6" x14ac:dyDescent="0.35">
      <c r="A3" t="s">
        <v>52</v>
      </c>
      <c r="B3" s="23" t="s">
        <v>238</v>
      </c>
      <c r="C3" s="24"/>
    </row>
    <row r="4" spans="1:6" x14ac:dyDescent="0.35">
      <c r="B4" t="s">
        <v>281</v>
      </c>
      <c r="C4" s="32">
        <f>Valuation!E7</f>
        <v>73.258856911391291</v>
      </c>
    </row>
    <row r="5" spans="1:6" x14ac:dyDescent="0.35">
      <c r="B5" t="s">
        <v>339</v>
      </c>
      <c r="C5" s="70">
        <f>Valuation!I12</f>
        <v>0.16394218055012758</v>
      </c>
    </row>
    <row r="6" spans="1:6" x14ac:dyDescent="0.35">
      <c r="B6" t="s">
        <v>280</v>
      </c>
      <c r="C6" s="70">
        <f>Control_Panel!C11</f>
        <v>0.122</v>
      </c>
    </row>
    <row r="7" spans="1:6" x14ac:dyDescent="0.35">
      <c r="B7" t="s">
        <v>340</v>
      </c>
      <c r="C7" s="71">
        <f>Control_Panel!C12</f>
        <v>5.4967565722089454E-2</v>
      </c>
    </row>
    <row r="8" spans="1:6" x14ac:dyDescent="0.35">
      <c r="B8" t="s">
        <v>282</v>
      </c>
      <c r="C8" s="32">
        <f>(BaseROE-Growth)/(COE-Growth)</f>
        <v>1.6256997974478893</v>
      </c>
    </row>
    <row r="9" spans="1:6" x14ac:dyDescent="0.35">
      <c r="B9" t="s">
        <v>283</v>
      </c>
      <c r="C9" s="32">
        <f>BaseBVPS*JustifiedP_B</f>
        <v>119.09690884211273</v>
      </c>
    </row>
    <row r="13" spans="1:6" x14ac:dyDescent="0.35">
      <c r="A13" t="s">
        <v>52</v>
      </c>
      <c r="B13" s="78">
        <f>C9</f>
        <v>119.09690884211273</v>
      </c>
      <c r="C13" s="79">
        <v>0.11</v>
      </c>
      <c r="D13" s="79">
        <v>0.12</v>
      </c>
      <c r="E13" s="79">
        <v>0.13</v>
      </c>
      <c r="F13" s="79">
        <v>0.14000000000000001</v>
      </c>
    </row>
    <row r="14" spans="1:6" x14ac:dyDescent="0.35">
      <c r="B14" s="72">
        <v>0.14000000000000001</v>
      </c>
      <c r="C14" s="77">
        <f t="dataTable" ref="C14:F18" dt2D="1" dtr="1" r1="C6" r2="C5"/>
        <v>113.19468268720837</v>
      </c>
      <c r="D14" s="77">
        <v>95.788801461314151</v>
      </c>
      <c r="E14" s="77">
        <v>83.0224821511176</v>
      </c>
      <c r="F14" s="77">
        <v>73.258856911391291</v>
      </c>
    </row>
    <row r="15" spans="1:6" x14ac:dyDescent="0.35">
      <c r="B15" s="73">
        <v>0.15</v>
      </c>
      <c r="C15" s="74">
        <v>126.50662461248071</v>
      </c>
      <c r="D15" s="74">
        <v>107.05377373627555</v>
      </c>
      <c r="E15" s="74">
        <v>92.786107390843895</v>
      </c>
      <c r="F15" s="74">
        <v>81.874258497092114</v>
      </c>
    </row>
    <row r="16" spans="1:6" x14ac:dyDescent="0.35">
      <c r="B16" s="73">
        <v>0.16</v>
      </c>
      <c r="C16" s="74">
        <v>139.81856653775307</v>
      </c>
      <c r="D16" s="74">
        <v>118.31874601123698</v>
      </c>
      <c r="E16" s="74">
        <v>102.54973263057022</v>
      </c>
      <c r="F16" s="74">
        <v>90.489660082792966</v>
      </c>
    </row>
    <row r="17" spans="1:6" x14ac:dyDescent="0.35">
      <c r="B17" s="73">
        <v>0.17</v>
      </c>
      <c r="C17" s="74">
        <v>153.13050846302542</v>
      </c>
      <c r="D17" s="74">
        <v>129.5837182861984</v>
      </c>
      <c r="E17" s="74">
        <v>112.31335787029653</v>
      </c>
      <c r="F17" s="74">
        <v>99.105061668493803</v>
      </c>
    </row>
    <row r="18" spans="1:6" x14ac:dyDescent="0.35">
      <c r="B18" s="75">
        <v>0.18</v>
      </c>
      <c r="C18" s="76">
        <v>166.44245038829777</v>
      </c>
      <c r="D18" s="76">
        <v>140.84869056115983</v>
      </c>
      <c r="E18" s="76">
        <v>122.07698311002284</v>
      </c>
      <c r="F18" s="76">
        <v>107.72046325419464</v>
      </c>
    </row>
    <row r="21" spans="1:6" x14ac:dyDescent="0.35">
      <c r="A21" t="s">
        <v>52</v>
      </c>
      <c r="B21" s="22" t="s">
        <v>284</v>
      </c>
      <c r="C21" s="22"/>
      <c r="D21" s="22"/>
    </row>
    <row r="22" spans="1:6" ht="7.5" customHeight="1" x14ac:dyDescent="0.35"/>
    <row r="23" spans="1:6" x14ac:dyDescent="0.35">
      <c r="B23" s="23" t="s">
        <v>341</v>
      </c>
      <c r="C23" s="55"/>
      <c r="D23" s="55"/>
    </row>
    <row r="24" spans="1:6" x14ac:dyDescent="0.35">
      <c r="B24">
        <v>100</v>
      </c>
      <c r="C24" s="69">
        <f>(TargetPrice/B24)^(1/3)-1</f>
        <v>5.9986082771211091E-2</v>
      </c>
      <c r="D24" t="str">
        <f>IF(B24&gt;0.15,"Strong Moderate",IF(B24&gt;0.08,"Moderate Upside",IF(B24&gt;0.03,"Weak Upside",IF(B24&gt;0,"Hold","Downside"))))</f>
        <v>Strong Moderate</v>
      </c>
    </row>
    <row r="25" spans="1:6" x14ac:dyDescent="0.35">
      <c r="B25">
        <v>110</v>
      </c>
      <c r="C25" s="69">
        <f>(TargetPrice/B25)^(1/3)-1</f>
        <v>2.6839582493163761E-2</v>
      </c>
      <c r="D25" t="str">
        <f t="shared" ref="D25:D26" si="0">IF(B25&gt;0.15,"Strong Moderate",IF(B25&gt;0.08,"Moderate Upside",IF(B25&gt;0.03,"Weak Upside",IF(B25&gt;0,"Hold","Downside"))))</f>
        <v>Strong Moderate</v>
      </c>
    </row>
    <row r="26" spans="1:6" x14ac:dyDescent="0.35">
      <c r="B26">
        <v>120</v>
      </c>
      <c r="C26" s="69">
        <f>(TargetPrice/B26)^(1/3)-1</f>
        <v>-2.5149059998224033E-3</v>
      </c>
      <c r="D26" t="str">
        <f t="shared" si="0"/>
        <v>Strong Moderate</v>
      </c>
    </row>
    <row r="30" spans="1:6" ht="7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53A1C-A2DF-46C5-AA1C-3DFF18A69E29}">
  <dimension ref="A1:D32"/>
  <sheetViews>
    <sheetView showGridLines="0" zoomScale="73" zoomScaleNormal="70" workbookViewId="0">
      <selection activeCell="F10" sqref="F10"/>
    </sheetView>
  </sheetViews>
  <sheetFormatPr defaultRowHeight="14.5" x14ac:dyDescent="0.35"/>
  <cols>
    <col min="1" max="1" width="1.90625" customWidth="1"/>
    <col min="2" max="2" width="46.54296875" bestFit="1" customWidth="1"/>
    <col min="3" max="3" width="10.36328125" bestFit="1" customWidth="1"/>
    <col min="4" max="4" width="21.6328125" customWidth="1"/>
  </cols>
  <sheetData>
    <row r="1" spans="1:4" ht="21" x14ac:dyDescent="0.5">
      <c r="B1" s="114" t="s">
        <v>417</v>
      </c>
    </row>
    <row r="3" spans="1:4" x14ac:dyDescent="0.35">
      <c r="A3" t="s">
        <v>52</v>
      </c>
      <c r="B3" s="22" t="s">
        <v>95</v>
      </c>
      <c r="C3" s="22"/>
      <c r="D3" s="22"/>
    </row>
    <row r="4" spans="1:4" ht="7.5" customHeight="1" x14ac:dyDescent="0.35"/>
    <row r="5" spans="1:4" x14ac:dyDescent="0.35">
      <c r="A5" t="s">
        <v>52</v>
      </c>
      <c r="B5" s="23" t="s">
        <v>270</v>
      </c>
      <c r="C5" s="24"/>
      <c r="D5" s="24"/>
    </row>
    <row r="6" spans="1:4" x14ac:dyDescent="0.35">
      <c r="B6" t="s">
        <v>336</v>
      </c>
      <c r="C6" s="47">
        <f>Forecast_Model!G34</f>
        <v>0.15999999999999992</v>
      </c>
    </row>
    <row r="7" spans="1:4" x14ac:dyDescent="0.35">
      <c r="B7" t="s">
        <v>271</v>
      </c>
      <c r="C7" s="88" t="str">
        <f>IF(Forecast_Model!C35&gt;=Forecast_Model!C30,"Sustainable","Raise Required")</f>
        <v>Sustainable</v>
      </c>
    </row>
    <row r="8" spans="1:4" x14ac:dyDescent="0.35">
      <c r="B8" t="s">
        <v>338</v>
      </c>
    </row>
    <row r="10" spans="1:4" x14ac:dyDescent="0.35">
      <c r="A10" t="s">
        <v>52</v>
      </c>
      <c r="B10" s="23" t="s">
        <v>59</v>
      </c>
      <c r="C10" s="24"/>
      <c r="D10" s="24"/>
    </row>
    <row r="11" spans="1:4" x14ac:dyDescent="0.35">
      <c r="B11" s="48" t="s">
        <v>190</v>
      </c>
      <c r="C11" s="67">
        <f>'Risk &amp; Sensitivity'!C6</f>
        <v>9.3061298182395003E-2</v>
      </c>
      <c r="D11" s="48"/>
    </row>
    <row r="12" spans="1:4" x14ac:dyDescent="0.35">
      <c r="B12" s="48" t="s">
        <v>272</v>
      </c>
      <c r="C12" s="67">
        <f>'Risk &amp; Sensitivity'!D15</f>
        <v>7.1911003140941607E-2</v>
      </c>
      <c r="D12" s="48"/>
    </row>
    <row r="13" spans="1:4" x14ac:dyDescent="0.35">
      <c r="B13" s="48" t="s">
        <v>30</v>
      </c>
      <c r="C13" s="67">
        <f>'Risk &amp; Sensitivity'!E15</f>
        <v>-2.1150295041453396E-2</v>
      </c>
      <c r="D13" s="48"/>
    </row>
    <row r="14" spans="1:4" x14ac:dyDescent="0.35">
      <c r="B14" s="48" t="s">
        <v>273</v>
      </c>
      <c r="C14" s="67">
        <f>'Risk &amp; Sensitivity'!E14</f>
        <v>-0.22727272727272713</v>
      </c>
      <c r="D14" s="48"/>
    </row>
    <row r="15" spans="1:4" x14ac:dyDescent="0.35">
      <c r="B15" s="48"/>
      <c r="C15" s="67"/>
      <c r="D15" s="48"/>
    </row>
    <row r="16" spans="1:4" x14ac:dyDescent="0.35">
      <c r="A16" t="s">
        <v>52</v>
      </c>
      <c r="B16" s="23" t="s">
        <v>96</v>
      </c>
      <c r="C16" s="24"/>
      <c r="D16" s="24"/>
    </row>
    <row r="17" spans="1:4" x14ac:dyDescent="0.35">
      <c r="B17" s="48" t="s">
        <v>274</v>
      </c>
      <c r="C17" s="67">
        <f>'Risk &amp; Sensitivity'!C17</f>
        <v>0.13553581666116651</v>
      </c>
      <c r="D17" s="48"/>
    </row>
    <row r="18" spans="1:4" x14ac:dyDescent="0.35">
      <c r="B18" s="48" t="s">
        <v>275</v>
      </c>
      <c r="C18" s="67">
        <f>'Risk &amp; Sensitivity'!D17</f>
        <v>0.14528233319879774</v>
      </c>
      <c r="D18" s="48"/>
    </row>
    <row r="20" spans="1:4" x14ac:dyDescent="0.35">
      <c r="A20" t="s">
        <v>52</v>
      </c>
      <c r="B20" s="21" t="s">
        <v>97</v>
      </c>
      <c r="C20" s="34" t="s">
        <v>98</v>
      </c>
      <c r="D20" s="34" t="s">
        <v>99</v>
      </c>
    </row>
    <row r="21" spans="1:4" ht="7.5" customHeight="1" x14ac:dyDescent="0.35"/>
    <row r="22" spans="1:4" x14ac:dyDescent="0.35">
      <c r="A22" t="s">
        <v>52</v>
      </c>
      <c r="B22" s="23" t="s">
        <v>101</v>
      </c>
      <c r="C22" s="23"/>
      <c r="D22" s="23"/>
    </row>
    <row r="23" spans="1:4" s="48" customFormat="1" x14ac:dyDescent="0.35">
      <c r="B23" s="48" t="s">
        <v>276</v>
      </c>
      <c r="C23" s="32">
        <f>'Risk &amp; Sensitivity'!C7/'Capital_Raising Strategy'!C7</f>
        <v>117.2632333761363</v>
      </c>
      <c r="D23" s="26">
        <v>0.5</v>
      </c>
    </row>
    <row r="24" spans="1:4" x14ac:dyDescent="0.35">
      <c r="B24" t="s">
        <v>100</v>
      </c>
      <c r="C24" s="32">
        <f>Valuation!E9</f>
        <v>117.21417105822607</v>
      </c>
      <c r="D24" s="26">
        <v>0.5</v>
      </c>
    </row>
    <row r="25" spans="1:4" x14ac:dyDescent="0.35">
      <c r="B25" t="s">
        <v>283</v>
      </c>
      <c r="C25" s="43">
        <f>('Output (IC Memo Ready)'!C23*'Output (IC Memo Ready)'!D24)+('Output (IC Memo Ready)'!C24*'Output (IC Memo Ready)'!D23)</f>
        <v>117.23870221718119</v>
      </c>
    </row>
    <row r="27" spans="1:4" x14ac:dyDescent="0.35">
      <c r="A27" t="s">
        <v>52</v>
      </c>
      <c r="B27" s="23" t="s">
        <v>102</v>
      </c>
      <c r="C27" s="23"/>
      <c r="D27" s="23"/>
    </row>
    <row r="28" spans="1:4" x14ac:dyDescent="0.35">
      <c r="B28" t="s">
        <v>103</v>
      </c>
      <c r="C28" t="s">
        <v>277</v>
      </c>
    </row>
    <row r="29" spans="1:4" x14ac:dyDescent="0.35">
      <c r="B29" t="s">
        <v>104</v>
      </c>
      <c r="C29" t="s">
        <v>278</v>
      </c>
    </row>
    <row r="30" spans="1:4" x14ac:dyDescent="0.35">
      <c r="B30" t="s">
        <v>105</v>
      </c>
      <c r="C30" t="s">
        <v>279</v>
      </c>
    </row>
    <row r="32" spans="1:4" x14ac:dyDescent="0.35">
      <c r="A3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392C-A639-4C03-9586-E6267BE8C23A}">
  <dimension ref="A1:K28"/>
  <sheetViews>
    <sheetView showGridLines="0" zoomScale="66" workbookViewId="0">
      <selection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6" width="21.6328125" customWidth="1"/>
    <col min="7" max="7" width="10.81640625" customWidth="1"/>
    <col min="19" max="19" width="11.81640625" bestFit="1" customWidth="1"/>
    <col min="20" max="20" width="10.08984375" bestFit="1" customWidth="1"/>
  </cols>
  <sheetData>
    <row r="1" spans="1:11" ht="21" x14ac:dyDescent="0.5">
      <c r="B1" s="114" t="s">
        <v>417</v>
      </c>
    </row>
    <row r="3" spans="1:11" ht="15.5" x14ac:dyDescent="0.35">
      <c r="A3" t="s">
        <v>52</v>
      </c>
      <c r="B3" s="54" t="s">
        <v>238</v>
      </c>
      <c r="C3" s="54"/>
      <c r="D3" s="54"/>
    </row>
    <row r="4" spans="1:11" s="48" customFormat="1" ht="7.5" customHeight="1" x14ac:dyDescent="0.35">
      <c r="B4" s="49"/>
    </row>
    <row r="5" spans="1:11" s="48" customFormat="1" x14ac:dyDescent="0.35">
      <c r="B5" s="23" t="s">
        <v>0</v>
      </c>
      <c r="C5" s="55" t="s">
        <v>244</v>
      </c>
      <c r="D5" s="55" t="s">
        <v>245</v>
      </c>
      <c r="F5" s="56" t="s">
        <v>241</v>
      </c>
      <c r="G5" s="57">
        <f>'Risk &amp; Sensitivity'!C9-0.005</f>
        <v>5.3000000000000005E-2</v>
      </c>
    </row>
    <row r="6" spans="1:11" s="48" customFormat="1" outlineLevel="1" x14ac:dyDescent="0.35">
      <c r="B6" s="48" t="s">
        <v>5</v>
      </c>
      <c r="C6" s="58">
        <f>Valuation!E18/Valuation!E17</f>
        <v>9.3061298182395003E-2</v>
      </c>
      <c r="D6" s="59" t="s">
        <v>246</v>
      </c>
      <c r="F6" s="56" t="s">
        <v>239</v>
      </c>
      <c r="G6" s="60">
        <f>G5*Forecast_Model!C7</f>
        <v>155975.46027840002</v>
      </c>
    </row>
    <row r="7" spans="1:11" outlineLevel="1" x14ac:dyDescent="0.35">
      <c r="B7" t="s">
        <v>247</v>
      </c>
      <c r="C7" s="37">
        <f>Valuation!I25</f>
        <v>897393.23804854881</v>
      </c>
      <c r="D7" s="35" t="s">
        <v>248</v>
      </c>
      <c r="F7" s="56" t="s">
        <v>242</v>
      </c>
      <c r="G7" s="60">
        <f>G6-Forecast_Model!C8</f>
        <v>-14714.66606399999</v>
      </c>
    </row>
    <row r="8" spans="1:11" outlineLevel="1" x14ac:dyDescent="0.35">
      <c r="B8" t="s">
        <v>249</v>
      </c>
      <c r="C8" s="58">
        <f>Investor_Positioning!D12</f>
        <v>0.13553581666116651</v>
      </c>
      <c r="D8" s="35" t="s">
        <v>250</v>
      </c>
      <c r="F8" s="56" t="s">
        <v>243</v>
      </c>
      <c r="G8" s="60">
        <f>G7*(1-'Capital_Raising Strategy'!C11)</f>
        <v>-11035.999547999993</v>
      </c>
    </row>
    <row r="9" spans="1:11" outlineLevel="1" x14ac:dyDescent="0.35">
      <c r="B9" t="s">
        <v>22</v>
      </c>
      <c r="C9" s="58">
        <f>Forecast_Model!C8/Forecast_Model!C7</f>
        <v>5.8000000000000003E-2</v>
      </c>
      <c r="D9" s="35" t="s">
        <v>251</v>
      </c>
      <c r="F9" s="56" t="s">
        <v>206</v>
      </c>
      <c r="G9" s="61">
        <f>Forecast_Model!C18/'Risk &amp; Sensitivity'!C8</f>
        <v>3849826.5835107644</v>
      </c>
    </row>
    <row r="10" spans="1:11" x14ac:dyDescent="0.35">
      <c r="F10" s="56" t="s">
        <v>187</v>
      </c>
      <c r="G10" s="60">
        <f>Forecast_Model!C18+'Risk &amp; Sensitivity'!D14</f>
        <v>559311.78846319998</v>
      </c>
      <c r="K10" s="40"/>
    </row>
    <row r="11" spans="1:11" x14ac:dyDescent="0.35">
      <c r="A11" t="s">
        <v>52</v>
      </c>
      <c r="B11" s="22" t="s">
        <v>252</v>
      </c>
      <c r="C11" s="21"/>
      <c r="D11" s="21"/>
      <c r="E11" s="21"/>
      <c r="F11" s="21"/>
    </row>
    <row r="12" spans="1:11" ht="7.5" customHeight="1" x14ac:dyDescent="0.35"/>
    <row r="13" spans="1:11" x14ac:dyDescent="0.35">
      <c r="B13" s="23" t="s">
        <v>253</v>
      </c>
      <c r="C13" s="55" t="s">
        <v>220</v>
      </c>
      <c r="D13" s="55" t="s">
        <v>254</v>
      </c>
      <c r="E13" s="55" t="s">
        <v>255</v>
      </c>
      <c r="F13" s="55" t="s">
        <v>256</v>
      </c>
    </row>
    <row r="14" spans="1:11" outlineLevel="1" x14ac:dyDescent="0.35">
      <c r="B14" t="s">
        <v>8</v>
      </c>
      <c r="C14" s="37">
        <f>Forecast_Model!C14</f>
        <v>48558.398011199999</v>
      </c>
      <c r="D14" s="80">
        <f>Forecast_Model!C14+'Risk &amp; Sensitivity'!G8</f>
        <v>37522.398463200007</v>
      </c>
      <c r="E14" s="62">
        <f>(D14-C14)/C14</f>
        <v>-0.22727272727272713</v>
      </c>
      <c r="F14" s="35" t="s">
        <v>257</v>
      </c>
    </row>
    <row r="15" spans="1:11" outlineLevel="1" x14ac:dyDescent="0.35">
      <c r="B15" t="s">
        <v>5</v>
      </c>
      <c r="C15" s="63">
        <f>C6</f>
        <v>9.3061298182395003E-2</v>
      </c>
      <c r="D15" s="81">
        <f>D14/Forecast_Model!C18</f>
        <v>7.1911003140941607E-2</v>
      </c>
      <c r="E15" s="62">
        <f>D15-C6</f>
        <v>-2.1150295041453396E-2</v>
      </c>
      <c r="F15" s="35" t="s">
        <v>258</v>
      </c>
    </row>
    <row r="16" spans="1:11" outlineLevel="1" x14ac:dyDescent="0.35">
      <c r="B16" t="s">
        <v>247</v>
      </c>
      <c r="C16" s="38">
        <f>C7</f>
        <v>897393.23804854881</v>
      </c>
      <c r="D16" s="80">
        <f>C16*(D14/C14)</f>
        <v>693440.22940115153</v>
      </c>
      <c r="E16" s="63">
        <f>(D16-C16)/C16</f>
        <v>-0.22727272727272707</v>
      </c>
      <c r="F16" s="35" t="s">
        <v>259</v>
      </c>
    </row>
    <row r="17" spans="1:6" outlineLevel="1" x14ac:dyDescent="0.35">
      <c r="B17" t="s">
        <v>249</v>
      </c>
      <c r="C17" s="63">
        <f>C8</f>
        <v>0.13553581666116651</v>
      </c>
      <c r="D17" s="81">
        <f>G10/G9</f>
        <v>0.14528233319879774</v>
      </c>
      <c r="E17" s="62">
        <f>D17-C8</f>
        <v>9.7465165376312279E-3</v>
      </c>
      <c r="F17" s="35" t="s">
        <v>260</v>
      </c>
    </row>
    <row r="19" spans="1:6" x14ac:dyDescent="0.35">
      <c r="A19" t="s">
        <v>52</v>
      </c>
      <c r="B19" s="22" t="s">
        <v>261</v>
      </c>
      <c r="C19" s="34"/>
      <c r="D19" s="64"/>
    </row>
    <row r="20" spans="1:6" ht="7.5" customHeight="1" x14ac:dyDescent="0.35"/>
    <row r="21" spans="1:6" x14ac:dyDescent="0.35">
      <c r="B21" s="65" t="s">
        <v>266</v>
      </c>
      <c r="C21" s="55" t="s">
        <v>265</v>
      </c>
    </row>
    <row r="22" spans="1:6" outlineLevel="1" x14ac:dyDescent="0.35">
      <c r="B22" t="s">
        <v>262</v>
      </c>
      <c r="C22" s="35" t="s">
        <v>267</v>
      </c>
    </row>
    <row r="23" spans="1:6" outlineLevel="1" x14ac:dyDescent="0.35">
      <c r="B23" t="s">
        <v>263</v>
      </c>
      <c r="C23" s="66" t="s">
        <v>268</v>
      </c>
    </row>
    <row r="24" spans="1:6" outlineLevel="1" x14ac:dyDescent="0.35">
      <c r="B24" t="s">
        <v>264</v>
      </c>
      <c r="C24" s="66" t="s">
        <v>269</v>
      </c>
    </row>
    <row r="25" spans="1:6" x14ac:dyDescent="0.35">
      <c r="C25" s="32"/>
    </row>
    <row r="28" spans="1:6" ht="14.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85CD-B086-48CA-9ACE-724011F97993}">
  <dimension ref="A1:E1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5" x14ac:dyDescent="0.35"/>
  <cols>
    <col min="1" max="1" width="1.90625" customWidth="1"/>
    <col min="2" max="2" width="30.26953125" customWidth="1"/>
    <col min="3" max="5" width="14.26953125" customWidth="1"/>
  </cols>
  <sheetData>
    <row r="1" spans="1:5" ht="21" x14ac:dyDescent="0.5">
      <c r="B1" s="114" t="s">
        <v>417</v>
      </c>
    </row>
    <row r="3" spans="1:5" x14ac:dyDescent="0.35">
      <c r="A3" t="s">
        <v>52</v>
      </c>
      <c r="B3" s="21" t="s">
        <v>0</v>
      </c>
      <c r="C3" s="34" t="s">
        <v>92</v>
      </c>
      <c r="D3" s="34" t="s">
        <v>90</v>
      </c>
      <c r="E3" s="34" t="s">
        <v>93</v>
      </c>
    </row>
    <row r="4" spans="1:5" ht="7.5" customHeight="1" x14ac:dyDescent="0.35"/>
    <row r="5" spans="1:5" x14ac:dyDescent="0.35">
      <c r="A5" t="s">
        <v>52</v>
      </c>
      <c r="B5" t="s">
        <v>5</v>
      </c>
      <c r="C5" s="47">
        <f>Forecast_Model!C15</f>
        <v>9.3061298182395003E-2</v>
      </c>
      <c r="D5" s="47">
        <f>'M&amp;A_Strategy'!F29</f>
        <v>9.9332836836026381E-2</v>
      </c>
      <c r="E5" s="52" t="s">
        <v>230</v>
      </c>
    </row>
    <row r="6" spans="1:5" x14ac:dyDescent="0.35">
      <c r="B6" t="s">
        <v>77</v>
      </c>
      <c r="C6" s="47">
        <f>Forecast_Model!D20</f>
        <v>0.37090909090909141</v>
      </c>
      <c r="D6" s="47">
        <f>'M&amp;A_Strategy'!F28</f>
        <v>4.1273107279856225E-2</v>
      </c>
      <c r="E6" s="52" t="s">
        <v>231</v>
      </c>
    </row>
    <row r="7" spans="1:5" x14ac:dyDescent="0.35">
      <c r="B7" t="s">
        <v>94</v>
      </c>
      <c r="C7" s="47">
        <f>Forecast_Model!C30</f>
        <v>0.12</v>
      </c>
      <c r="D7" s="47">
        <f>'Risk &amp; Sensitivity'!C8</f>
        <v>0.13553581666116651</v>
      </c>
      <c r="E7" s="52" t="s">
        <v>232</v>
      </c>
    </row>
    <row r="8" spans="1:5" x14ac:dyDescent="0.35">
      <c r="B8" t="s">
        <v>7</v>
      </c>
      <c r="C8" s="53">
        <f>Forecast_Model!C21</f>
        <v>9.6473079299467788</v>
      </c>
      <c r="D8" s="53">
        <f>'M&amp;A_Strategy'!F30</f>
        <v>10.304498447908863</v>
      </c>
      <c r="E8" s="52" t="s">
        <v>233</v>
      </c>
    </row>
    <row r="9" spans="1:5" x14ac:dyDescent="0.35">
      <c r="B9" t="s">
        <v>227</v>
      </c>
      <c r="C9" s="53">
        <f>Forecast_Model!C19</f>
        <v>6.3451723468977237</v>
      </c>
      <c r="D9" s="35" t="s">
        <v>172</v>
      </c>
    </row>
    <row r="10" spans="1:5" x14ac:dyDescent="0.35">
      <c r="B10" t="s">
        <v>234</v>
      </c>
      <c r="C10" s="18">
        <f>'M&amp;A_Strategy'!C35</f>
        <v>3.6745158673770949E-2</v>
      </c>
      <c r="D10" s="35" t="s">
        <v>172</v>
      </c>
    </row>
    <row r="11" spans="1:5" x14ac:dyDescent="0.35">
      <c r="B11" t="s">
        <v>235</v>
      </c>
      <c r="C11" s="35" t="s">
        <v>172</v>
      </c>
      <c r="D11" s="18">
        <f>'M&amp;A_Strategy'!F9</f>
        <v>0.5</v>
      </c>
      <c r="E11" s="52" t="s">
        <v>237</v>
      </c>
    </row>
    <row r="12" spans="1:5" x14ac:dyDescent="0.35">
      <c r="B12" t="s">
        <v>236</v>
      </c>
      <c r="C12" s="18">
        <f>Forecast_Model!C30</f>
        <v>0.12</v>
      </c>
      <c r="D12" s="16">
        <f>('M&amp;A_Strategy'!F12+'M&amp;A_Strategy'!F19+'M&amp;A_Strategy'!F7)/(Forecast_Model!C29+160000)</f>
        <v>0.13553581666116651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AAD8-43C8-4F45-9D9C-CD886196D899}">
  <dimension ref="A1:U50"/>
  <sheetViews>
    <sheetView showGridLines="0" zoomScale="55" zoomScaleNormal="55" workbookViewId="0">
      <selection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3" width="18.90625" bestFit="1" customWidth="1"/>
    <col min="4" max="4" width="14.26953125" customWidth="1"/>
    <col min="5" max="5" width="30.26953125" customWidth="1"/>
    <col min="6" max="6" width="15.7265625" customWidth="1"/>
    <col min="7" max="7" width="14.26953125" customWidth="1"/>
    <col min="8" max="8" width="18.08984375" bestFit="1" customWidth="1"/>
    <col min="9" max="9" width="16.26953125" bestFit="1" customWidth="1"/>
    <col min="10" max="10" width="14.26953125" customWidth="1"/>
    <col min="14" max="22" width="14.26953125" customWidth="1"/>
  </cols>
  <sheetData>
    <row r="1" spans="1:8" ht="21" x14ac:dyDescent="0.5">
      <c r="B1" s="114" t="s">
        <v>417</v>
      </c>
    </row>
    <row r="4" spans="1:8" ht="14.5" customHeight="1" x14ac:dyDescent="0.35">
      <c r="A4" t="s">
        <v>52</v>
      </c>
      <c r="B4" s="22" t="s">
        <v>310</v>
      </c>
      <c r="C4" s="21"/>
      <c r="D4" s="21"/>
      <c r="E4" s="21"/>
      <c r="F4" s="21"/>
      <c r="G4" s="21"/>
      <c r="H4" s="21"/>
    </row>
    <row r="5" spans="1:8" ht="8" customHeight="1" x14ac:dyDescent="0.35"/>
    <row r="6" spans="1:8" outlineLevel="1" x14ac:dyDescent="0.35">
      <c r="B6" t="s">
        <v>311</v>
      </c>
      <c r="C6" s="32">
        <f>Forecast_Model!C18</f>
        <v>521789.39</v>
      </c>
      <c r="E6" t="s">
        <v>216</v>
      </c>
      <c r="F6" s="39">
        <v>4000</v>
      </c>
    </row>
    <row r="7" spans="1:8" outlineLevel="1" x14ac:dyDescent="0.35">
      <c r="B7" t="s">
        <v>312</v>
      </c>
      <c r="C7" s="32">
        <f>Forecast_Model!C14</f>
        <v>48558.398011199999</v>
      </c>
      <c r="E7" t="s">
        <v>217</v>
      </c>
      <c r="F7" s="39">
        <v>25000</v>
      </c>
    </row>
    <row r="8" spans="1:8" outlineLevel="1" x14ac:dyDescent="0.35">
      <c r="B8" t="s">
        <v>313</v>
      </c>
      <c r="C8" s="32">
        <f>'Capital_Raising Strategy'!C7</f>
        <v>7652.8099406064403</v>
      </c>
      <c r="E8" t="s">
        <v>314</v>
      </c>
      <c r="F8" s="39">
        <v>200000</v>
      </c>
    </row>
    <row r="9" spans="1:8" outlineLevel="1" x14ac:dyDescent="0.35">
      <c r="B9" t="s">
        <v>204</v>
      </c>
      <c r="C9" s="32">
        <f>Valuation!E9</f>
        <v>117.21417105822607</v>
      </c>
      <c r="E9" t="s">
        <v>315</v>
      </c>
      <c r="F9" s="17">
        <v>0.5</v>
      </c>
    </row>
    <row r="10" spans="1:8" outlineLevel="1" x14ac:dyDescent="0.35">
      <c r="B10" t="s">
        <v>35</v>
      </c>
      <c r="C10" s="18">
        <f>Control_Panel!C12</f>
        <v>5.4967565722089454E-2</v>
      </c>
      <c r="E10" t="s">
        <v>316</v>
      </c>
      <c r="F10" s="17">
        <v>0.5</v>
      </c>
    </row>
    <row r="11" spans="1:8" outlineLevel="1" x14ac:dyDescent="0.35">
      <c r="B11" t="s">
        <v>176</v>
      </c>
      <c r="C11" s="18">
        <f>Control_Panel!C22</f>
        <v>0.25</v>
      </c>
      <c r="E11" t="s">
        <v>218</v>
      </c>
      <c r="F11" s="17">
        <v>0.05</v>
      </c>
    </row>
    <row r="12" spans="1:8" outlineLevel="1" x14ac:dyDescent="0.35">
      <c r="B12" t="s">
        <v>203</v>
      </c>
      <c r="C12" s="32">
        <f>Forecast_Model!C28</f>
        <v>5408629.1744682621</v>
      </c>
      <c r="E12" t="s">
        <v>186</v>
      </c>
      <c r="F12" s="32">
        <f>Forecast_Model!C17</f>
        <v>560636.10840896005</v>
      </c>
    </row>
    <row r="13" spans="1:8" outlineLevel="1" x14ac:dyDescent="0.35">
      <c r="B13" t="s">
        <v>225</v>
      </c>
      <c r="C13" s="39">
        <v>1.8</v>
      </c>
      <c r="F13" s="17"/>
    </row>
    <row r="14" spans="1:8" x14ac:dyDescent="0.35">
      <c r="C14" s="32"/>
      <c r="F14" s="17"/>
    </row>
    <row r="16" spans="1:8" x14ac:dyDescent="0.35">
      <c r="A16" t="s">
        <v>52</v>
      </c>
      <c r="B16" s="22" t="s">
        <v>317</v>
      </c>
      <c r="C16" s="85" t="s">
        <v>318</v>
      </c>
      <c r="D16" s="22"/>
      <c r="E16" s="22" t="s">
        <v>319</v>
      </c>
      <c r="F16" s="22"/>
      <c r="G16" s="22"/>
      <c r="H16" s="22"/>
    </row>
    <row r="17" spans="1:21" ht="7" customHeight="1" x14ac:dyDescent="0.35"/>
    <row r="18" spans="1:21" x14ac:dyDescent="0.35">
      <c r="B18" t="s">
        <v>91</v>
      </c>
      <c r="C18" s="40">
        <f>F7*C13</f>
        <v>45000</v>
      </c>
      <c r="E18" t="s">
        <v>221</v>
      </c>
      <c r="F18" s="40">
        <f>C18*F9</f>
        <v>22500</v>
      </c>
    </row>
    <row r="19" spans="1:21" x14ac:dyDescent="0.35">
      <c r="E19" t="s">
        <v>222</v>
      </c>
      <c r="F19" s="40">
        <f>C18*F10</f>
        <v>22500</v>
      </c>
    </row>
    <row r="21" spans="1:21" x14ac:dyDescent="0.35">
      <c r="A21" t="s">
        <v>52</v>
      </c>
      <c r="B21" s="22" t="s">
        <v>320</v>
      </c>
      <c r="C21" s="64"/>
      <c r="D21" s="64"/>
      <c r="E21" s="64"/>
      <c r="F21" s="64"/>
      <c r="G21" s="64"/>
      <c r="H21" s="64"/>
    </row>
    <row r="22" spans="1:21" ht="7" customHeight="1" x14ac:dyDescent="0.35"/>
    <row r="23" spans="1:21" outlineLevel="1" x14ac:dyDescent="0.35">
      <c r="B23" t="s">
        <v>321</v>
      </c>
      <c r="C23" s="40">
        <f>F19/C9</f>
        <v>191.95631208126821</v>
      </c>
      <c r="E23" t="s">
        <v>324</v>
      </c>
      <c r="F23" s="86">
        <f>C7+F6+C27-C26</f>
        <v>51830.820339639737</v>
      </c>
    </row>
    <row r="24" spans="1:21" outlineLevel="1" x14ac:dyDescent="0.35">
      <c r="B24" t="s">
        <v>322</v>
      </c>
      <c r="C24" s="86">
        <f>C8+C23</f>
        <v>7844.7662526877084</v>
      </c>
      <c r="E24" t="s">
        <v>325</v>
      </c>
      <c r="F24" s="86">
        <f>C6+F19</f>
        <v>544289.39</v>
      </c>
    </row>
    <row r="25" spans="1:21" outlineLevel="1" x14ac:dyDescent="0.35">
      <c r="B25" t="s">
        <v>25</v>
      </c>
      <c r="C25" s="40">
        <f>F18*C10</f>
        <v>1236.7702287470127</v>
      </c>
      <c r="E25" t="s">
        <v>326</v>
      </c>
      <c r="F25" s="86">
        <f>C12+F8</f>
        <v>5608629.1744682621</v>
      </c>
    </row>
    <row r="26" spans="1:21" outlineLevel="1" x14ac:dyDescent="0.35">
      <c r="B26" t="s">
        <v>323</v>
      </c>
      <c r="C26" s="40">
        <f>C25*(1-C11)</f>
        <v>927.57767156025943</v>
      </c>
      <c r="E26" t="s">
        <v>327</v>
      </c>
      <c r="F26" s="86">
        <f>C7/C8</f>
        <v>6.3451723468977237</v>
      </c>
    </row>
    <row r="27" spans="1:21" outlineLevel="1" x14ac:dyDescent="0.35">
      <c r="B27" t="s">
        <v>223</v>
      </c>
      <c r="C27" s="40">
        <f>F6*F11</f>
        <v>200</v>
      </c>
      <c r="E27" t="s">
        <v>328</v>
      </c>
      <c r="F27" s="46">
        <f>F23/C24</f>
        <v>6.6070573258804099</v>
      </c>
    </row>
    <row r="28" spans="1:21" outlineLevel="1" x14ac:dyDescent="0.35">
      <c r="E28" t="s">
        <v>329</v>
      </c>
      <c r="F28" s="69">
        <f>(F27/F26)-1</f>
        <v>4.1273107279856225E-2</v>
      </c>
    </row>
    <row r="29" spans="1:21" outlineLevel="1" x14ac:dyDescent="0.35">
      <c r="E29" t="s">
        <v>330</v>
      </c>
      <c r="F29" s="69">
        <f>F23/C6</f>
        <v>9.9332836836026381E-2</v>
      </c>
    </row>
    <row r="30" spans="1:21" outlineLevel="1" x14ac:dyDescent="0.35">
      <c r="E30" t="s">
        <v>331</v>
      </c>
      <c r="F30" s="86">
        <f>F25/F24</f>
        <v>10.304498447908863</v>
      </c>
    </row>
    <row r="32" spans="1:21" s="48" customFormat="1" x14ac:dyDescent="0.35">
      <c r="A32" t="s">
        <v>52</v>
      </c>
      <c r="B32" s="22" t="s">
        <v>332</v>
      </c>
      <c r="C32" s="64"/>
      <c r="D32" s="64"/>
      <c r="E32" s="64"/>
      <c r="F32" s="64"/>
      <c r="G32" s="64"/>
      <c r="H32" s="64"/>
      <c r="I32"/>
      <c r="J32"/>
      <c r="K32"/>
      <c r="L32"/>
      <c r="M32"/>
      <c r="N32"/>
      <c r="O32"/>
      <c r="P32"/>
      <c r="Q32"/>
      <c r="R32" s="49"/>
      <c r="U32" s="49"/>
    </row>
    <row r="33" spans="1:17" s="48" customFormat="1" ht="7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s="48" customFormat="1" x14ac:dyDescent="0.35">
      <c r="A34"/>
      <c r="B34" t="s">
        <v>224</v>
      </c>
      <c r="C34" s="40">
        <f>C18-F7</f>
        <v>20000</v>
      </c>
      <c r="D34"/>
      <c r="E34" t="s">
        <v>334</v>
      </c>
      <c r="F34" s="86">
        <f>F24-C34</f>
        <v>524289.39</v>
      </c>
      <c r="G34"/>
      <c r="H34"/>
      <c r="I34"/>
      <c r="J34"/>
      <c r="K34"/>
      <c r="L34"/>
      <c r="M34"/>
      <c r="N34"/>
      <c r="O34"/>
      <c r="P34"/>
      <c r="Q34"/>
    </row>
    <row r="35" spans="1:17" s="48" customFormat="1" x14ac:dyDescent="0.35">
      <c r="A35"/>
      <c r="B35" t="s">
        <v>333</v>
      </c>
      <c r="C35" s="69">
        <f>C34/F24</f>
        <v>3.6745158673770949E-2</v>
      </c>
      <c r="D35"/>
      <c r="E35" t="s">
        <v>335</v>
      </c>
      <c r="F35" s="69">
        <f>F23/F34</f>
        <v>9.8859182215454977E-2</v>
      </c>
      <c r="G35"/>
      <c r="H35"/>
      <c r="I35"/>
      <c r="J35"/>
      <c r="K35"/>
      <c r="L35"/>
      <c r="M35"/>
      <c r="N35"/>
      <c r="O35"/>
      <c r="P35"/>
      <c r="Q35"/>
    </row>
    <row r="36" spans="1:17" s="48" customForma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s="48" customForma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s="48" customForma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 s="48" customForma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 s="48" customForma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 x14ac:dyDescent="0.35">
      <c r="A41" t="s">
        <v>52</v>
      </c>
    </row>
    <row r="43" spans="1:17" x14ac:dyDescent="0.35">
      <c r="A43" t="s">
        <v>52</v>
      </c>
    </row>
    <row r="50" spans="16:16" x14ac:dyDescent="0.35">
      <c r="P50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6916-589A-4259-8053-7FF65AA3835D}">
  <dimension ref="A1:N18"/>
  <sheetViews>
    <sheetView showGridLines="0" zoomScale="72" workbookViewId="0">
      <selection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11" width="14.26953125" customWidth="1"/>
    <col min="12" max="12" width="20.453125" bestFit="1" customWidth="1"/>
    <col min="13" max="14" width="14.26953125" customWidth="1"/>
  </cols>
  <sheetData>
    <row r="1" spans="1:14" ht="21" x14ac:dyDescent="0.5">
      <c r="B1" s="114" t="s">
        <v>417</v>
      </c>
    </row>
    <row r="2" spans="1:14" ht="14.5" customHeight="1" x14ac:dyDescent="0.5">
      <c r="B2" s="33"/>
    </row>
    <row r="3" spans="1:14" ht="14" customHeight="1" x14ac:dyDescent="0.35">
      <c r="A3" t="s">
        <v>52</v>
      </c>
      <c r="B3" s="23" t="s">
        <v>188</v>
      </c>
      <c r="C3" s="24"/>
    </row>
    <row r="4" spans="1:14" ht="14" customHeight="1" outlineLevel="1" x14ac:dyDescent="0.35">
      <c r="B4" t="s">
        <v>186</v>
      </c>
      <c r="C4" s="32">
        <f>Forecast_Model!C18</f>
        <v>521789.39</v>
      </c>
    </row>
    <row r="5" spans="1:14" outlineLevel="1" x14ac:dyDescent="0.35">
      <c r="B5" t="s">
        <v>189</v>
      </c>
      <c r="C5" s="32">
        <f>Forecast_Model!C14</f>
        <v>48558.398011199999</v>
      </c>
    </row>
    <row r="6" spans="1:14" outlineLevel="1" x14ac:dyDescent="0.35">
      <c r="B6" t="s">
        <v>190</v>
      </c>
      <c r="C6" s="51">
        <f>C5/C4</f>
        <v>9.3061298182395003E-2</v>
      </c>
    </row>
    <row r="7" spans="1:14" outlineLevel="1" x14ac:dyDescent="0.35">
      <c r="B7" t="s">
        <v>191</v>
      </c>
      <c r="C7" s="43">
        <f>734440.17/95.97</f>
        <v>7652.8099406064403</v>
      </c>
    </row>
    <row r="8" spans="1:14" outlineLevel="1" x14ac:dyDescent="0.35">
      <c r="B8" t="s">
        <v>192</v>
      </c>
      <c r="C8" s="32">
        <f>Valuation!E9</f>
        <v>117.21417105822607</v>
      </c>
    </row>
    <row r="9" spans="1:14" outlineLevel="1" x14ac:dyDescent="0.35">
      <c r="B9" t="s">
        <v>10</v>
      </c>
      <c r="C9" s="32">
        <f>Historical_Financials!G21</f>
        <v>4392417.42</v>
      </c>
    </row>
    <row r="10" spans="1:14" outlineLevel="1" x14ac:dyDescent="0.35">
      <c r="B10" t="s">
        <v>193</v>
      </c>
      <c r="C10" s="15">
        <f>Control_Panel!C24</f>
        <v>0.09</v>
      </c>
    </row>
    <row r="11" spans="1:14" outlineLevel="1" x14ac:dyDescent="0.35">
      <c r="B11" t="s">
        <v>176</v>
      </c>
      <c r="C11" s="15">
        <f>Control_Panel!C22</f>
        <v>0.25</v>
      </c>
    </row>
    <row r="12" spans="1:14" x14ac:dyDescent="0.35">
      <c r="C12" s="32"/>
    </row>
    <row r="13" spans="1:14" x14ac:dyDescent="0.35">
      <c r="A13" t="s">
        <v>52</v>
      </c>
      <c r="B13" s="21" t="s">
        <v>83</v>
      </c>
      <c r="C13" s="34" t="s">
        <v>84</v>
      </c>
      <c r="D13" s="34" t="s">
        <v>85</v>
      </c>
      <c r="E13" s="34" t="s">
        <v>187</v>
      </c>
      <c r="F13" s="34" t="s">
        <v>195</v>
      </c>
      <c r="G13" s="34" t="s">
        <v>196</v>
      </c>
      <c r="H13" s="34" t="s">
        <v>197</v>
      </c>
      <c r="I13" s="34" t="s">
        <v>198</v>
      </c>
      <c r="J13" s="34" t="s">
        <v>30</v>
      </c>
      <c r="K13" s="34" t="s">
        <v>199</v>
      </c>
      <c r="L13" s="34" t="s">
        <v>200</v>
      </c>
      <c r="M13" s="34" t="s">
        <v>201</v>
      </c>
      <c r="N13" s="34" t="s">
        <v>202</v>
      </c>
    </row>
    <row r="14" spans="1:14" ht="7.5" customHeight="1" x14ac:dyDescent="0.35"/>
    <row r="15" spans="1:14" outlineLevel="1" x14ac:dyDescent="0.35">
      <c r="A15" t="s">
        <v>52</v>
      </c>
      <c r="B15" t="s">
        <v>86</v>
      </c>
      <c r="C15" s="39">
        <v>0</v>
      </c>
      <c r="D15" s="39">
        <v>0</v>
      </c>
      <c r="E15" s="40">
        <f>$C$4+C15</f>
        <v>521789.39</v>
      </c>
      <c r="F15">
        <f>D15*Control_Panel!$C$24</f>
        <v>0</v>
      </c>
      <c r="G15" s="40">
        <f>F15*(1-$C$11)</f>
        <v>0</v>
      </c>
      <c r="H15" s="40">
        <f>$C$5-G15</f>
        <v>48558.398011199999</v>
      </c>
      <c r="I15" s="28">
        <f>H15/E15</f>
        <v>9.3061298182395003E-2</v>
      </c>
      <c r="J15" s="28">
        <f>I15-$C$6</f>
        <v>0</v>
      </c>
      <c r="K15" s="40">
        <f>C15/$C$8</f>
        <v>0</v>
      </c>
      <c r="L15" s="40">
        <f>$C$7+K15</f>
        <v>7652.8099406064403</v>
      </c>
      <c r="M15" s="28">
        <f>K15/$C$7</f>
        <v>0</v>
      </c>
      <c r="N15" s="40">
        <f>C9/C4</f>
        <v>8.4179891430908551</v>
      </c>
    </row>
    <row r="16" spans="1:14" outlineLevel="1" x14ac:dyDescent="0.35">
      <c r="B16" t="s">
        <v>87</v>
      </c>
      <c r="C16" s="39">
        <v>25500</v>
      </c>
      <c r="D16" s="39">
        <v>0</v>
      </c>
      <c r="E16" s="40">
        <f>$C$4+C16</f>
        <v>547289.39</v>
      </c>
      <c r="F16">
        <f>D16*Control_Panel!$C$24</f>
        <v>0</v>
      </c>
      <c r="G16" s="40">
        <f>F16*(1-$C$11)</f>
        <v>0</v>
      </c>
      <c r="H16" s="40">
        <f>$C$5-G16</f>
        <v>48558.398011199999</v>
      </c>
      <c r="I16" s="28">
        <f t="shared" ref="I16:I18" si="0">H16/E16</f>
        <v>8.8725268383514605E-2</v>
      </c>
      <c r="J16" s="28">
        <f t="shared" ref="J16:J18" si="1">I16-$C$6</f>
        <v>-4.3360297988803975E-3</v>
      </c>
      <c r="K16" s="40">
        <f>C16/$C$8</f>
        <v>217.55048702543732</v>
      </c>
      <c r="L16" s="40">
        <f>$C$7+K16</f>
        <v>7870.3604276318774</v>
      </c>
      <c r="M16" s="28">
        <f>K16/$C$7</f>
        <v>2.8427530373006719E-2</v>
      </c>
      <c r="N16" s="40">
        <f>C9/(C4+C16)</f>
        <v>8.0257675377189379</v>
      </c>
    </row>
    <row r="17" spans="2:14" outlineLevel="1" x14ac:dyDescent="0.35">
      <c r="B17" t="s">
        <v>88</v>
      </c>
      <c r="C17" s="39">
        <v>0</v>
      </c>
      <c r="D17" s="39">
        <v>25000</v>
      </c>
      <c r="E17" s="40">
        <f>$C$4+C17</f>
        <v>521789.39</v>
      </c>
      <c r="F17">
        <f>D17*Control_Panel!$C$24</f>
        <v>2250</v>
      </c>
      <c r="G17" s="40">
        <f>F17*(1-$C$11)</f>
        <v>1687.5</v>
      </c>
      <c r="H17" s="40">
        <f>$C$5-G17</f>
        <v>46870.898011199999</v>
      </c>
      <c r="I17" s="28">
        <f t="shared" si="0"/>
        <v>8.9827234722423155E-2</v>
      </c>
      <c r="J17" s="28">
        <f t="shared" si="1"/>
        <v>-3.2340634599718476E-3</v>
      </c>
      <c r="K17" s="40">
        <f>C17/$C$8</f>
        <v>0</v>
      </c>
      <c r="L17" s="40">
        <f>$C$7+K17</f>
        <v>7652.8099406064403</v>
      </c>
      <c r="M17" s="28">
        <f>K17/$C$7</f>
        <v>0</v>
      </c>
      <c r="N17" s="40">
        <f>(C9+D17)/C4</f>
        <v>8.4659011943496978</v>
      </c>
    </row>
    <row r="18" spans="2:14" outlineLevel="1" x14ac:dyDescent="0.35">
      <c r="B18" t="s">
        <v>89</v>
      </c>
      <c r="C18" s="39">
        <v>12500</v>
      </c>
      <c r="D18" s="39">
        <v>12500</v>
      </c>
      <c r="E18" s="40">
        <f>$C$4+C18</f>
        <v>534289.39</v>
      </c>
      <c r="F18">
        <f>D18*Control_Panel!$C$24</f>
        <v>1125</v>
      </c>
      <c r="G18" s="40">
        <f>F18*(1-$C$11)</f>
        <v>843.75</v>
      </c>
      <c r="H18" s="40">
        <f>$C$5-G18</f>
        <v>47714.648011199999</v>
      </c>
      <c r="I18" s="28">
        <f t="shared" si="0"/>
        <v>8.9304876541156833E-2</v>
      </c>
      <c r="J18" s="28">
        <f t="shared" si="1"/>
        <v>-3.7564216412381696E-3</v>
      </c>
      <c r="K18" s="40">
        <f>C18/$C$8</f>
        <v>106.64239560070456</v>
      </c>
      <c r="L18" s="40">
        <f>$C$7+K18</f>
        <v>7759.452336207145</v>
      </c>
      <c r="M18" s="28">
        <f>K18/$C$7</f>
        <v>1.3935063908336626E-2</v>
      </c>
      <c r="N18" s="40">
        <f>(C9+D18)/(C4+C18)</f>
        <v>8.2444411258101162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92AA-E2D0-49B4-836B-176DAB981338}">
  <dimension ref="A1:K25"/>
  <sheetViews>
    <sheetView showGridLines="0" zoomScale="61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4" width="14.26953125" customWidth="1"/>
    <col min="5" max="5" width="17.6328125" bestFit="1" customWidth="1"/>
    <col min="6" max="8" width="14.26953125" customWidth="1"/>
    <col min="9" max="9" width="15.81640625" bestFit="1" customWidth="1"/>
    <col min="11" max="11" width="19" bestFit="1" customWidth="1"/>
  </cols>
  <sheetData>
    <row r="1" spans="1:11" ht="21" x14ac:dyDescent="0.5">
      <c r="B1" s="114" t="s">
        <v>417</v>
      </c>
    </row>
    <row r="3" spans="1:11" x14ac:dyDescent="0.35">
      <c r="A3" t="s">
        <v>52</v>
      </c>
      <c r="B3" s="21" t="s">
        <v>0</v>
      </c>
      <c r="C3" s="34" t="s">
        <v>69</v>
      </c>
      <c r="D3" s="34" t="s">
        <v>1</v>
      </c>
      <c r="E3" s="34" t="s">
        <v>177</v>
      </c>
      <c r="F3" s="34" t="s">
        <v>178</v>
      </c>
      <c r="G3" s="34" t="s">
        <v>179</v>
      </c>
      <c r="H3" s="34" t="s">
        <v>180</v>
      </c>
      <c r="I3" s="34" t="s">
        <v>181</v>
      </c>
    </row>
    <row r="4" spans="1:11" ht="7.5" customHeight="1" x14ac:dyDescent="0.35"/>
    <row r="5" spans="1:11" x14ac:dyDescent="0.35">
      <c r="A5" t="s">
        <v>52</v>
      </c>
      <c r="B5" s="23" t="s">
        <v>70</v>
      </c>
      <c r="C5" s="23"/>
      <c r="D5" s="23"/>
      <c r="E5" s="23"/>
      <c r="F5" s="23"/>
      <c r="G5" s="23"/>
      <c r="H5" s="23"/>
      <c r="I5" s="23"/>
    </row>
    <row r="6" spans="1:11" outlineLevel="1" x14ac:dyDescent="0.35">
      <c r="B6" t="s">
        <v>71</v>
      </c>
      <c r="C6" s="38" t="s">
        <v>309</v>
      </c>
      <c r="D6" s="37">
        <f>Historical_Financials!G16/'Balance Sheet (Cons-Stand)'!B9</f>
        <v>681.88153733566821</v>
      </c>
      <c r="E6" s="44" t="s">
        <v>172</v>
      </c>
      <c r="F6" s="44" t="s">
        <v>172</v>
      </c>
      <c r="G6" s="44" t="s">
        <v>172</v>
      </c>
      <c r="H6" s="44" t="s">
        <v>172</v>
      </c>
      <c r="I6" s="44" t="s">
        <v>172</v>
      </c>
    </row>
    <row r="7" spans="1:11" outlineLevel="1" x14ac:dyDescent="0.35">
      <c r="B7" t="s">
        <v>72</v>
      </c>
      <c r="C7" s="38" t="s">
        <v>308</v>
      </c>
      <c r="D7" s="38" t="s">
        <v>172</v>
      </c>
      <c r="E7" s="37">
        <f>Forecast_Model!C17/'Capital_Raising Strategy'!$C$7</f>
        <v>73.258856911391291</v>
      </c>
      <c r="F7" s="37">
        <f>Forecast_Model!D17/'Capital_Raising Strategy'!$C$7</f>
        <v>80.217780474388931</v>
      </c>
      <c r="G7" s="37">
        <f>Forecast_Model!E17/'Capital_Raising Strategy'!$C$7</f>
        <v>89.532032012555021</v>
      </c>
      <c r="H7" s="37">
        <f>Forecast_Model!F17/'Capital_Raising Strategy'!$C$7</f>
        <v>101.20092633956949</v>
      </c>
      <c r="I7" s="37">
        <f>Forecast_Model!G17/'Capital_Raising Strategy'!$C$7</f>
        <v>115.40528412529328</v>
      </c>
    </row>
    <row r="8" spans="1:11" outlineLevel="1" x14ac:dyDescent="0.35">
      <c r="B8" t="s">
        <v>73</v>
      </c>
      <c r="C8" s="40"/>
      <c r="D8" s="38" t="s">
        <v>172</v>
      </c>
      <c r="E8" s="45">
        <f>Control_Panel!$C$15</f>
        <v>1.6</v>
      </c>
      <c r="F8" s="45">
        <f>Control_Panel!$C$15</f>
        <v>1.6</v>
      </c>
      <c r="G8" s="45">
        <f>Control_Panel!$C$15</f>
        <v>1.6</v>
      </c>
      <c r="H8" s="45">
        <f>Control_Panel!$C$15</f>
        <v>1.6</v>
      </c>
      <c r="I8" s="45">
        <f>Control_Panel!$C$15</f>
        <v>1.6</v>
      </c>
    </row>
    <row r="9" spans="1:11" outlineLevel="1" x14ac:dyDescent="0.35">
      <c r="B9" t="s">
        <v>74</v>
      </c>
      <c r="C9" s="38" t="s">
        <v>308</v>
      </c>
      <c r="D9" s="38" t="s">
        <v>172</v>
      </c>
      <c r="E9" s="38">
        <f>E7*E8</f>
        <v>117.21417105822607</v>
      </c>
      <c r="F9" s="38">
        <f t="shared" ref="F9:I9" si="0">F7*F8</f>
        <v>128.34844875902229</v>
      </c>
      <c r="G9" s="38">
        <f t="shared" si="0"/>
        <v>143.25125122008805</v>
      </c>
      <c r="H9" s="38">
        <f t="shared" si="0"/>
        <v>161.92148214331121</v>
      </c>
      <c r="I9" s="38">
        <f t="shared" si="0"/>
        <v>184.64845460046925</v>
      </c>
    </row>
    <row r="11" spans="1:11" x14ac:dyDescent="0.35">
      <c r="A11" t="s">
        <v>52</v>
      </c>
      <c r="B11" s="23" t="s">
        <v>75</v>
      </c>
      <c r="C11" s="23"/>
      <c r="D11" s="23"/>
      <c r="E11" s="23"/>
      <c r="F11" s="23"/>
      <c r="G11" s="23"/>
      <c r="H11" s="23"/>
      <c r="I11" s="23"/>
    </row>
    <row r="12" spans="1:11" outlineLevel="1" x14ac:dyDescent="0.35">
      <c r="B12" t="s">
        <v>5</v>
      </c>
      <c r="D12" s="38" t="s">
        <v>172</v>
      </c>
      <c r="E12" s="38" t="s">
        <v>172</v>
      </c>
      <c r="F12" s="38" t="s">
        <v>172</v>
      </c>
      <c r="G12" s="38" t="s">
        <v>172</v>
      </c>
      <c r="H12" s="38" t="s">
        <v>172</v>
      </c>
      <c r="I12" s="16">
        <f>Forecast_Model!G14/AVERAGE(Forecast_Model!F17,Forecast_Model!G17)</f>
        <v>0.16394218055012758</v>
      </c>
      <c r="K12" s="46"/>
    </row>
    <row r="13" spans="1:11" outlineLevel="1" x14ac:dyDescent="0.35">
      <c r="B13" t="s">
        <v>76</v>
      </c>
      <c r="D13" s="38" t="s">
        <v>172</v>
      </c>
      <c r="E13" s="38" t="s">
        <v>172</v>
      </c>
      <c r="F13" s="38" t="s">
        <v>172</v>
      </c>
      <c r="G13" s="38" t="s">
        <v>172</v>
      </c>
      <c r="H13" s="38" t="s">
        <v>172</v>
      </c>
      <c r="I13" s="47">
        <f>Control_Panel!$C$11</f>
        <v>0.122</v>
      </c>
    </row>
    <row r="14" spans="1:11" outlineLevel="1" x14ac:dyDescent="0.35">
      <c r="B14" t="s">
        <v>77</v>
      </c>
      <c r="D14" s="38" t="s">
        <v>172</v>
      </c>
      <c r="E14" s="38" t="s">
        <v>172</v>
      </c>
      <c r="F14" s="38" t="s">
        <v>172</v>
      </c>
      <c r="G14" s="38" t="s">
        <v>172</v>
      </c>
      <c r="H14" s="38" t="s">
        <v>172</v>
      </c>
      <c r="I14" s="17">
        <v>0.05</v>
      </c>
    </row>
    <row r="16" spans="1:11" x14ac:dyDescent="0.35">
      <c r="A16" t="s">
        <v>52</v>
      </c>
      <c r="B16" s="23" t="s">
        <v>78</v>
      </c>
      <c r="C16" s="23"/>
      <c r="D16" s="23"/>
      <c r="E16" s="23"/>
      <c r="F16" s="23"/>
      <c r="G16" s="23"/>
      <c r="H16" s="23"/>
      <c r="I16" s="23"/>
    </row>
    <row r="17" spans="1:9" s="48" customFormat="1" outlineLevel="1" x14ac:dyDescent="0.35">
      <c r="A17"/>
      <c r="B17" s="48" t="s">
        <v>182</v>
      </c>
      <c r="C17" s="49"/>
      <c r="D17" s="38" t="s">
        <v>172</v>
      </c>
      <c r="E17" s="32">
        <f>Historical_Financials!G16</f>
        <v>521789.39</v>
      </c>
      <c r="F17" s="32">
        <f>Forecast_Model!C17</f>
        <v>560636.10840896005</v>
      </c>
      <c r="G17" s="32">
        <f>Forecast_Model!D17</f>
        <v>613891.42782778887</v>
      </c>
      <c r="H17" s="32">
        <f>Forecast_Model!E17</f>
        <v>685171.6245883751</v>
      </c>
      <c r="I17" s="32">
        <f>Forecast_Model!F17</f>
        <v>774471.45509003755</v>
      </c>
    </row>
    <row r="18" spans="1:9" outlineLevel="1" x14ac:dyDescent="0.35">
      <c r="B18" t="s">
        <v>8</v>
      </c>
      <c r="D18" s="38" t="s">
        <v>172</v>
      </c>
      <c r="E18" s="32">
        <f>Forecast_Model!C14</f>
        <v>48558.398011199999</v>
      </c>
      <c r="F18" s="32">
        <f>Forecast_Model!D14</f>
        <v>66569.149273536023</v>
      </c>
      <c r="G18" s="32">
        <f>Forecast_Model!E14</f>
        <v>89100.245950732788</v>
      </c>
      <c r="H18" s="32">
        <f>Forecast_Model!F14</f>
        <v>111624.78812707806</v>
      </c>
      <c r="I18" s="32">
        <f>Forecast_Model!G14</f>
        <v>135879.06307814686</v>
      </c>
    </row>
    <row r="19" spans="1:9" outlineLevel="1" x14ac:dyDescent="0.35">
      <c r="B19" t="s">
        <v>79</v>
      </c>
      <c r="D19" s="38" t="s">
        <v>172</v>
      </c>
      <c r="E19" s="43">
        <f>E17*$I$13</f>
        <v>63658.30558</v>
      </c>
      <c r="F19" s="43">
        <f t="shared" ref="F19:I19" si="1">F17*$I$13</f>
        <v>68397.60522589313</v>
      </c>
      <c r="G19" s="43">
        <f t="shared" si="1"/>
        <v>74894.754194990237</v>
      </c>
      <c r="H19" s="43">
        <f t="shared" si="1"/>
        <v>83590.938199781755</v>
      </c>
      <c r="I19" s="43">
        <f t="shared" si="1"/>
        <v>94485.517520984577</v>
      </c>
    </row>
    <row r="20" spans="1:9" outlineLevel="1" x14ac:dyDescent="0.35">
      <c r="B20" t="s">
        <v>80</v>
      </c>
      <c r="D20" s="38" t="s">
        <v>172</v>
      </c>
      <c r="E20" s="43">
        <f>E18-E19</f>
        <v>-15099.907568800001</v>
      </c>
      <c r="F20" s="43">
        <f>F18-F19</f>
        <v>-1828.4559523571079</v>
      </c>
      <c r="G20" s="43">
        <f t="shared" ref="G20:I20" si="2">G18-G19</f>
        <v>14205.491755742551</v>
      </c>
      <c r="H20" s="43">
        <f t="shared" si="2"/>
        <v>28033.849927296309</v>
      </c>
      <c r="I20" s="43">
        <f t="shared" si="2"/>
        <v>41393.545557162288</v>
      </c>
    </row>
    <row r="21" spans="1:9" outlineLevel="1" x14ac:dyDescent="0.35">
      <c r="B21" t="s">
        <v>183</v>
      </c>
      <c r="D21" s="38" t="s">
        <v>172</v>
      </c>
      <c r="E21" s="50">
        <f>1/(1+$I$13)^1</f>
        <v>0.89126559714795017</v>
      </c>
      <c r="F21" s="50">
        <f>1/(1+$I$13)^2</f>
        <v>0.79435436465949227</v>
      </c>
      <c r="G21" s="50">
        <f>1/(1+$I$13)^3</f>
        <v>0.70798071716532296</v>
      </c>
      <c r="H21" s="50">
        <f>1/(1+$I$13)^4</f>
        <v>0.63099885665358557</v>
      </c>
      <c r="I21" s="50">
        <f>1/(1+$I$13)^5</f>
        <v>0.56238757277503182</v>
      </c>
    </row>
    <row r="22" spans="1:9" outlineLevel="1" x14ac:dyDescent="0.35">
      <c r="B22" t="s">
        <v>81</v>
      </c>
      <c r="D22" s="38" t="s">
        <v>172</v>
      </c>
      <c r="E22" s="43">
        <f>E20*E21</f>
        <v>-13458.028136185385</v>
      </c>
      <c r="F22" s="43">
        <f t="shared" ref="F22:I22" si="3">F20*F21</f>
        <v>-1452.4419663424974</v>
      </c>
      <c r="G22" s="43">
        <f t="shared" si="3"/>
        <v>10057.214240916694</v>
      </c>
      <c r="H22" s="43">
        <f t="shared" si="3"/>
        <v>17689.327251722174</v>
      </c>
      <c r="I22" s="43">
        <f t="shared" si="3"/>
        <v>23279.215614445202</v>
      </c>
    </row>
    <row r="23" spans="1:9" outlineLevel="1" x14ac:dyDescent="0.35">
      <c r="B23" t="s">
        <v>184</v>
      </c>
      <c r="D23" s="38" t="s">
        <v>172</v>
      </c>
      <c r="E23" s="38" t="s">
        <v>172</v>
      </c>
      <c r="F23" s="38" t="s">
        <v>172</v>
      </c>
      <c r="G23" s="38" t="s">
        <v>172</v>
      </c>
      <c r="H23" s="38" t="s">
        <v>172</v>
      </c>
      <c r="I23" s="43">
        <f>I20*(1+I14)/(I13-I14)</f>
        <v>603655.87270861678</v>
      </c>
    </row>
    <row r="24" spans="1:9" outlineLevel="1" x14ac:dyDescent="0.35">
      <c r="B24" t="s">
        <v>185</v>
      </c>
      <c r="C24" s="43"/>
      <c r="D24" s="38" t="s">
        <v>172</v>
      </c>
      <c r="E24" s="38" t="s">
        <v>172</v>
      </c>
      <c r="F24" s="38" t="s">
        <v>172</v>
      </c>
      <c r="G24" s="38" t="s">
        <v>172</v>
      </c>
      <c r="H24" s="38" t="s">
        <v>172</v>
      </c>
      <c r="I24" s="43">
        <f>I23*I21</f>
        <v>339488.56104399258</v>
      </c>
    </row>
    <row r="25" spans="1:9" outlineLevel="1" x14ac:dyDescent="0.35">
      <c r="B25" t="s">
        <v>82</v>
      </c>
      <c r="D25" s="38" t="s">
        <v>172</v>
      </c>
      <c r="E25" s="38" t="s">
        <v>172</v>
      </c>
      <c r="F25" s="38" t="s">
        <v>172</v>
      </c>
      <c r="G25" s="38" t="s">
        <v>172</v>
      </c>
      <c r="H25" s="38" t="s">
        <v>172</v>
      </c>
      <c r="I25" s="43">
        <f>E17+(SUM(E22:I22)+I24)</f>
        <v>897393.23804854881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539C-8861-460D-8815-3DA590B5D691}">
  <dimension ref="A1:H35"/>
  <sheetViews>
    <sheetView showGridLines="0" zoomScale="108" workbookViewId="0">
      <pane ySplit="3" topLeftCell="A4" activePane="bottomLeft" state="frozen"/>
      <selection activeCell="B1" sqref="B1"/>
      <selection pane="bottomLeft"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7" width="14.26953125" customWidth="1"/>
  </cols>
  <sheetData>
    <row r="1" spans="1:8" ht="21" x14ac:dyDescent="0.5">
      <c r="B1" s="114" t="s">
        <v>417</v>
      </c>
    </row>
    <row r="3" spans="1:8" x14ac:dyDescent="0.35">
      <c r="A3" t="s">
        <v>52</v>
      </c>
      <c r="B3" s="21" t="s">
        <v>3</v>
      </c>
      <c r="C3" s="34" t="s">
        <v>16</v>
      </c>
      <c r="D3" s="34" t="s">
        <v>17</v>
      </c>
      <c r="E3" s="34" t="s">
        <v>18</v>
      </c>
      <c r="F3" s="34" t="s">
        <v>19</v>
      </c>
      <c r="G3" s="34" t="s">
        <v>20</v>
      </c>
    </row>
    <row r="4" spans="1:8" ht="7.5" customHeight="1" x14ac:dyDescent="0.35"/>
    <row r="5" spans="1:8" outlineLevel="1" x14ac:dyDescent="0.35">
      <c r="B5" t="s">
        <v>65</v>
      </c>
      <c r="C5" s="32">
        <f>Historical_Financials!G19*(1+Control_Panel!$C$16)</f>
        <v>3160928.2656</v>
      </c>
      <c r="D5" s="32">
        <f>C5*(1+Control_Panel!$C$16)</f>
        <v>3666676.788096</v>
      </c>
      <c r="E5" s="32">
        <f>D5*(1+Control_Panel!$C$16)</f>
        <v>4253345.0741913598</v>
      </c>
      <c r="F5" s="32">
        <f>E5*(1+Control_Panel!$C$16)</f>
        <v>4933880.286061977</v>
      </c>
      <c r="G5" s="32">
        <f>F5*(1+Control_Panel!$C$16)</f>
        <v>5723301.1318318928</v>
      </c>
    </row>
    <row r="6" spans="1:8" outlineLevel="1" x14ac:dyDescent="0.35">
      <c r="B6" t="s">
        <v>66</v>
      </c>
      <c r="C6" s="32">
        <f>Historical_Financials!G17*(1+Control_Panel!$C$17)</f>
        <v>3090423.9822000004</v>
      </c>
      <c r="D6" s="32">
        <f>C6*(1+Control_Panel!$C$17)</f>
        <v>3523083.3397080009</v>
      </c>
      <c r="E6" s="32">
        <f>D6*(1+Control_Panel!$C$17)</f>
        <v>4016315.0072671212</v>
      </c>
      <c r="F6" s="32">
        <f>E6*(1+Control_Panel!$C$17)</f>
        <v>4578599.1082845191</v>
      </c>
      <c r="G6" s="32">
        <f>F6*(1+Control_Panel!$C$17)</f>
        <v>5219602.9834443526</v>
      </c>
    </row>
    <row r="7" spans="1:8" outlineLevel="1" x14ac:dyDescent="0.35">
      <c r="B7" t="s">
        <v>173</v>
      </c>
      <c r="C7" s="32">
        <f>(Historical_Financials!G19+Forecast_Model!C5)/2</f>
        <v>2942933.2127999999</v>
      </c>
      <c r="D7" s="40">
        <f>(C5+D5)/2</f>
        <v>3413802.526848</v>
      </c>
      <c r="E7" s="40">
        <f t="shared" ref="E7:G7" si="0">(D5+E5)/2</f>
        <v>3960010.9311436797</v>
      </c>
      <c r="F7" s="40">
        <f t="shared" si="0"/>
        <v>4593612.6801266689</v>
      </c>
      <c r="G7" s="40">
        <f t="shared" si="0"/>
        <v>5328590.7089469349</v>
      </c>
    </row>
    <row r="8" spans="1:8" outlineLevel="1" x14ac:dyDescent="0.35">
      <c r="B8" t="s">
        <v>26</v>
      </c>
      <c r="C8" s="32">
        <f>C7*Control_Panel!$C$18</f>
        <v>170690.12634240001</v>
      </c>
      <c r="D8" s="32">
        <f>D7*Control_Panel!$C$18</f>
        <v>198000.54655718402</v>
      </c>
      <c r="E8" s="32">
        <f>E7*Control_Panel!$C$18</f>
        <v>229680.63400633342</v>
      </c>
      <c r="F8" s="32">
        <f>F7*Control_Panel!$C$18</f>
        <v>266429.5354473468</v>
      </c>
      <c r="G8" s="32">
        <f>G7*Control_Panel!$C$18</f>
        <v>309058.26111892227</v>
      </c>
    </row>
    <row r="9" spans="1:8" outlineLevel="1" x14ac:dyDescent="0.35">
      <c r="B9" t="s">
        <v>43</v>
      </c>
      <c r="C9" s="43">
        <f>C7*2.2%</f>
        <v>64744.530681600001</v>
      </c>
      <c r="D9" s="43">
        <f>D7*2.2%</f>
        <v>75103.65559065601</v>
      </c>
      <c r="E9" s="43">
        <f>E7*2.2%</f>
        <v>87120.240485160961</v>
      </c>
      <c r="F9" s="43">
        <f>F7*2.2%</f>
        <v>101059.47896278673</v>
      </c>
      <c r="G9" s="43">
        <f>G7*2.2%</f>
        <v>117228.99559683258</v>
      </c>
    </row>
    <row r="10" spans="1:8" outlineLevel="1" x14ac:dyDescent="0.35">
      <c r="B10" t="s">
        <v>44</v>
      </c>
      <c r="C10" s="43">
        <f>C8+C9</f>
        <v>235434.65702400001</v>
      </c>
      <c r="D10" s="43">
        <f t="shared" ref="D10:G10" si="1">D8+D9</f>
        <v>273104.20214784006</v>
      </c>
      <c r="E10" s="43">
        <f t="shared" si="1"/>
        <v>316800.87449149438</v>
      </c>
      <c r="F10" s="43">
        <f t="shared" si="1"/>
        <v>367489.01441013353</v>
      </c>
      <c r="G10" s="43">
        <f t="shared" si="1"/>
        <v>426287.25671575486</v>
      </c>
    </row>
    <row r="11" spans="1:8" outlineLevel="1" x14ac:dyDescent="0.35">
      <c r="B11" t="s">
        <v>174</v>
      </c>
      <c r="C11" s="43">
        <f>C10*55%</f>
        <v>129489.06136320002</v>
      </c>
      <c r="D11" s="43">
        <f>D10*50%</f>
        <v>136552.10107392003</v>
      </c>
      <c r="E11" s="43">
        <f>E10*45%</f>
        <v>142560.39352117249</v>
      </c>
      <c r="F11" s="43">
        <f>F10*42%</f>
        <v>154345.38605225607</v>
      </c>
      <c r="G11" s="43">
        <f>G10*40%</f>
        <v>170514.90268630197</v>
      </c>
      <c r="H11" s="84" t="s">
        <v>307</v>
      </c>
    </row>
    <row r="12" spans="1:8" outlineLevel="1" x14ac:dyDescent="0.35">
      <c r="B12" t="s">
        <v>27</v>
      </c>
      <c r="C12" s="32">
        <f>C7*Control_Panel!$C$19</f>
        <v>41201.064979199997</v>
      </c>
      <c r="D12" s="32">
        <f>D7*Control_Panel!$C$19</f>
        <v>47793.235375871998</v>
      </c>
      <c r="E12" s="32">
        <f>E7*Control_Panel!$C$19</f>
        <v>55440.153036011514</v>
      </c>
      <c r="F12" s="32">
        <f>F7*Control_Panel!$C$19</f>
        <v>64310.577521773368</v>
      </c>
      <c r="G12" s="32">
        <f>G7*Control_Panel!$C$19</f>
        <v>74600.269925257089</v>
      </c>
    </row>
    <row r="13" spans="1:8" outlineLevel="1" x14ac:dyDescent="0.35">
      <c r="B13" t="s">
        <v>175</v>
      </c>
      <c r="C13" s="43">
        <f>C10-C11-C12</f>
        <v>64744.530681600001</v>
      </c>
      <c r="D13" s="43">
        <f t="shared" ref="D13:G13" si="2">D10-D11-D12</f>
        <v>88758.86569804803</v>
      </c>
      <c r="E13" s="43">
        <f t="shared" si="2"/>
        <v>118800.32793431038</v>
      </c>
      <c r="F13" s="43">
        <f t="shared" si="2"/>
        <v>148833.05083610408</v>
      </c>
      <c r="G13" s="43">
        <f t="shared" si="2"/>
        <v>181172.08410419582</v>
      </c>
    </row>
    <row r="14" spans="1:8" outlineLevel="1" x14ac:dyDescent="0.35">
      <c r="B14" t="s">
        <v>4</v>
      </c>
      <c r="C14" s="32">
        <f>C13*(1-Control_Panel!$C$22)</f>
        <v>48558.398011199999</v>
      </c>
      <c r="D14" s="32">
        <f>D13*(1-Control_Panel!$C$22)</f>
        <v>66569.149273536023</v>
      </c>
      <c r="E14" s="32">
        <f>E13*(1-Control_Panel!$C$22)</f>
        <v>89100.245950732788</v>
      </c>
      <c r="F14" s="32">
        <f>F13*(1-Control_Panel!$C$22)</f>
        <v>111624.78812707806</v>
      </c>
      <c r="G14" s="32">
        <f>G13*(1-Control_Panel!$C$22)</f>
        <v>135879.06307814686</v>
      </c>
    </row>
    <row r="15" spans="1:8" outlineLevel="1" x14ac:dyDescent="0.35">
      <c r="B15" t="s">
        <v>5</v>
      </c>
      <c r="C15" s="19">
        <f>C14/C18</f>
        <v>9.3061298182395003E-2</v>
      </c>
      <c r="D15" s="19">
        <f t="shared" ref="D15:G15" si="3">D14/D18</f>
        <v>0.11873860472964164</v>
      </c>
      <c r="E15" s="19">
        <f t="shared" si="3"/>
        <v>0.14514007186255665</v>
      </c>
      <c r="F15" s="19">
        <f t="shared" si="3"/>
        <v>0.16291507721753359</v>
      </c>
      <c r="G15" s="19">
        <f t="shared" si="3"/>
        <v>0.17544747735389421</v>
      </c>
    </row>
    <row r="16" spans="1:8" outlineLevel="1" x14ac:dyDescent="0.35">
      <c r="B16" t="s">
        <v>67</v>
      </c>
      <c r="C16" s="32">
        <f>C14*(1-Control_Panel!$C$23)</f>
        <v>38846.718408959998</v>
      </c>
      <c r="D16" s="32">
        <f>D14*(1-Control_Panel!$C$23)</f>
        <v>53255.319418828818</v>
      </c>
      <c r="E16" s="32">
        <f>E14*(1-Control_Panel!$C$23)</f>
        <v>71280.19676058623</v>
      </c>
      <c r="F16" s="32">
        <f>F14*(1-Control_Panel!$C$23)</f>
        <v>89299.830501662451</v>
      </c>
      <c r="G16" s="32">
        <f>G14*(1-Control_Panel!$C$23)</f>
        <v>108703.25046251749</v>
      </c>
    </row>
    <row r="17" spans="1:7" outlineLevel="1" x14ac:dyDescent="0.35">
      <c r="B17" t="s">
        <v>68</v>
      </c>
      <c r="C17" s="32">
        <f>Historical_Financials!G16+Forecast_Model!C16</f>
        <v>560636.10840896005</v>
      </c>
      <c r="D17" s="32">
        <f>C17+D16</f>
        <v>613891.42782778887</v>
      </c>
      <c r="E17" s="32">
        <f t="shared" ref="E17:G17" si="4">D17+E16</f>
        <v>685171.6245883751</v>
      </c>
      <c r="F17" s="32">
        <f t="shared" si="4"/>
        <v>774471.45509003755</v>
      </c>
      <c r="G17" s="32">
        <f t="shared" si="4"/>
        <v>883174.70555255504</v>
      </c>
    </row>
    <row r="18" spans="1:7" outlineLevel="1" x14ac:dyDescent="0.35">
      <c r="B18" t="s">
        <v>226</v>
      </c>
      <c r="C18" s="32">
        <f>Historical_Financials!G16</f>
        <v>521789.39</v>
      </c>
      <c r="D18" s="43">
        <f>C17</f>
        <v>560636.10840896005</v>
      </c>
      <c r="E18" s="43">
        <f t="shared" ref="E18:G18" si="5">D17</f>
        <v>613891.42782778887</v>
      </c>
      <c r="F18" s="43">
        <f t="shared" si="5"/>
        <v>685171.6245883751</v>
      </c>
      <c r="G18" s="43">
        <f t="shared" si="5"/>
        <v>774471.45509003755</v>
      </c>
    </row>
    <row r="19" spans="1:7" outlineLevel="1" x14ac:dyDescent="0.35">
      <c r="B19" t="s">
        <v>227</v>
      </c>
      <c r="C19" s="32">
        <f>C14/'Capital_Raising Strategy'!$C$7</f>
        <v>6.3451723468977237</v>
      </c>
      <c r="D19" s="32">
        <f>D14/'Capital_Raising Strategy'!$C$7</f>
        <v>8.6986544537470643</v>
      </c>
      <c r="E19" s="32">
        <f>E14/'Capital_Raising Strategy'!$C$7</f>
        <v>11.642814422707604</v>
      </c>
      <c r="F19" s="32">
        <f>F14/'Capital_Raising Strategy'!$C$7</f>
        <v>14.58611790876809</v>
      </c>
      <c r="G19" s="32">
        <f>G14/'Capital_Raising Strategy'!$C$7</f>
        <v>17.755447232154737</v>
      </c>
    </row>
    <row r="20" spans="1:7" outlineLevel="1" x14ac:dyDescent="0.35">
      <c r="B20" t="s">
        <v>228</v>
      </c>
      <c r="C20" s="37" t="s">
        <v>172</v>
      </c>
      <c r="D20" s="19">
        <f>(D19-C19)/(C19)</f>
        <v>0.37090909090909141</v>
      </c>
      <c r="E20" s="19">
        <f t="shared" ref="E20:G20" si="6">(E19-D19)/(D19)</f>
        <v>0.33846153846153781</v>
      </c>
      <c r="F20" s="19">
        <f t="shared" si="6"/>
        <v>0.25280000000000036</v>
      </c>
      <c r="G20" s="19">
        <f t="shared" si="6"/>
        <v>0.21728395061728395</v>
      </c>
    </row>
    <row r="21" spans="1:7" outlineLevel="1" x14ac:dyDescent="0.35">
      <c r="B21" t="s">
        <v>7</v>
      </c>
      <c r="C21" s="32">
        <f>C28/C17</f>
        <v>9.6473079299467788</v>
      </c>
      <c r="D21" s="32">
        <f>D28/D17</f>
        <v>10.416666666666666</v>
      </c>
      <c r="E21" s="32">
        <f>E28/E17</f>
        <v>10.416666666666668</v>
      </c>
      <c r="F21" s="32">
        <f>F28/F17</f>
        <v>10.416666666666666</v>
      </c>
      <c r="G21" s="32">
        <f>G28/G17</f>
        <v>10.416666666666666</v>
      </c>
    </row>
    <row r="22" spans="1:7" outlineLevel="1" x14ac:dyDescent="0.35">
      <c r="B22" t="s">
        <v>229</v>
      </c>
      <c r="C22" s="83">
        <f>(C28/Historical_Financials!G21)-1</f>
        <v>0.23135591572903436</v>
      </c>
      <c r="D22" s="83">
        <f>(D28/C28)-1</f>
        <v>0.18231480971050584</v>
      </c>
      <c r="E22" s="83">
        <f t="shared" ref="E22:G22" si="7">(E28/D28)-1</f>
        <v>0.11611205749004538</v>
      </c>
      <c r="F22" s="83">
        <f t="shared" si="7"/>
        <v>0.1303320617740269</v>
      </c>
      <c r="G22" s="83">
        <f t="shared" si="7"/>
        <v>0.14035798188311532</v>
      </c>
    </row>
    <row r="24" spans="1:7" x14ac:dyDescent="0.35">
      <c r="A24" t="s">
        <v>52</v>
      </c>
      <c r="B24" s="23" t="s">
        <v>205</v>
      </c>
      <c r="C24" s="23"/>
      <c r="D24" s="23"/>
      <c r="E24" s="23"/>
      <c r="F24" s="23"/>
      <c r="G24" s="23"/>
    </row>
    <row r="25" spans="1:7" x14ac:dyDescent="0.35">
      <c r="B25" t="s">
        <v>213</v>
      </c>
      <c r="C25" s="32">
        <f>C17/Control_Panel!$C$26</f>
        <v>4671967.5700746672</v>
      </c>
      <c r="D25" s="32">
        <f>D17/Control_Panel!$C$26</f>
        <v>5115761.8985649077</v>
      </c>
      <c r="E25" s="32">
        <f>E17/Control_Panel!$C$26</f>
        <v>5709763.5382364597</v>
      </c>
      <c r="F25" s="32">
        <f>F17/Control_Panel!$C$26</f>
        <v>6453928.7924169796</v>
      </c>
      <c r="G25" s="32">
        <f>G17/Control_Panel!$C$26</f>
        <v>7359789.2129379585</v>
      </c>
    </row>
    <row r="26" spans="1:7" x14ac:dyDescent="0.35">
      <c r="B26" t="s">
        <v>214</v>
      </c>
      <c r="C26" s="32">
        <f>C25/Control_Panel!$C$25</f>
        <v>5839959.4625933338</v>
      </c>
      <c r="D26" s="32">
        <f>D25/Control_Panel!$C$25</f>
        <v>6394702.373206134</v>
      </c>
      <c r="E26" s="32">
        <f>E25/Control_Panel!$C$25</f>
        <v>7137204.4227955742</v>
      </c>
      <c r="F26" s="32">
        <f>F25/Control_Panel!$C$25</f>
        <v>8067410.9905212242</v>
      </c>
      <c r="G26" s="32">
        <f>G25/Control_Panel!$C$25</f>
        <v>9199736.5161724482</v>
      </c>
    </row>
    <row r="27" spans="1:7" x14ac:dyDescent="0.35">
      <c r="B27" t="s">
        <v>215</v>
      </c>
      <c r="C27" s="32">
        <f>C26/Historical_Financials!G21-1</f>
        <v>0.32955475406372781</v>
      </c>
      <c r="D27" s="32">
        <f>D26/C28-1</f>
        <v>0.18231480971050584</v>
      </c>
      <c r="E27" s="32">
        <f t="shared" ref="E27:G27" si="8">E26/D28-1</f>
        <v>0.11611205749004538</v>
      </c>
      <c r="F27" s="32">
        <f t="shared" si="8"/>
        <v>0.1303320617740269</v>
      </c>
      <c r="G27" s="32">
        <f t="shared" si="8"/>
        <v>0.14035798188311532</v>
      </c>
    </row>
    <row r="28" spans="1:7" x14ac:dyDescent="0.35">
      <c r="B28" t="s">
        <v>10</v>
      </c>
      <c r="C28" s="32">
        <f>MIN(Historical_Financials!G21*(1+'Key_Operating Drivers'!$C$5),Forecast_Model!C26)</f>
        <v>5408629.1744682621</v>
      </c>
      <c r="D28" s="32">
        <f>MIN(C28*(1+'Key_Operating Drivers'!$C$5),Forecast_Model!D26)</f>
        <v>6394702.373206134</v>
      </c>
      <c r="E28" s="32">
        <f>MIN(D28*(1+'Key_Operating Drivers'!$C$5),Forecast_Model!E26)</f>
        <v>7137204.4227955742</v>
      </c>
      <c r="F28" s="32">
        <f>MIN(E28*(1+'Key_Operating Drivers'!$C$5),Forecast_Model!F26)</f>
        <v>8067410.9905212242</v>
      </c>
      <c r="G28" s="32">
        <f>MIN(F28*(1+'Key_Operating Drivers'!$C$5),Forecast_Model!G26)</f>
        <v>9199736.5161724482</v>
      </c>
    </row>
    <row r="29" spans="1:7" x14ac:dyDescent="0.35">
      <c r="B29" t="s">
        <v>206</v>
      </c>
      <c r="C29" s="32">
        <f>C28*Control_Panel!$C$25</f>
        <v>4326903.3395746099</v>
      </c>
      <c r="D29" s="32">
        <f>D28*Control_Panel!$C$25</f>
        <v>5115761.8985649077</v>
      </c>
      <c r="E29" s="32">
        <f>E28*Control_Panel!$C$25</f>
        <v>5709763.5382364597</v>
      </c>
      <c r="F29" s="32">
        <f>F28*Control_Panel!$C$25</f>
        <v>6453928.7924169796</v>
      </c>
      <c r="G29" s="32">
        <f>G28*Control_Panel!$C$25</f>
        <v>7359789.2129379585</v>
      </c>
    </row>
    <row r="30" spans="1:7" x14ac:dyDescent="0.35">
      <c r="B30" t="s">
        <v>207</v>
      </c>
      <c r="C30" s="15">
        <f>Control_Panel!$C$26</f>
        <v>0.12</v>
      </c>
      <c r="D30" s="15">
        <f>Control_Panel!$C$26</f>
        <v>0.12</v>
      </c>
      <c r="E30" s="15">
        <f>Control_Panel!$C$26</f>
        <v>0.12</v>
      </c>
      <c r="F30" s="15">
        <f>Control_Panel!$C$26</f>
        <v>0.12</v>
      </c>
      <c r="G30" s="15">
        <f>Control_Panel!$C$26</f>
        <v>0.12</v>
      </c>
    </row>
    <row r="31" spans="1:7" x14ac:dyDescent="0.35">
      <c r="B31" t="s">
        <v>208</v>
      </c>
      <c r="C31" s="32">
        <f>C29*Control_Panel!$C$26</f>
        <v>519228.40074895317</v>
      </c>
      <c r="D31" s="32">
        <f>D29*Control_Panel!$C$26</f>
        <v>613891.42782778887</v>
      </c>
      <c r="E31" s="32">
        <f>E29*Control_Panel!$C$26</f>
        <v>685171.6245883751</v>
      </c>
      <c r="F31" s="32">
        <f>F29*Control_Panel!$C$26</f>
        <v>774471.45509003755</v>
      </c>
      <c r="G31" s="32">
        <f>G29*Control_Panel!$C$26</f>
        <v>883174.70555255504</v>
      </c>
    </row>
    <row r="32" spans="1:7" x14ac:dyDescent="0.35">
      <c r="B32" t="s">
        <v>209</v>
      </c>
      <c r="C32" s="43">
        <f>C17-C31</f>
        <v>41407.707660006883</v>
      </c>
      <c r="D32" s="43">
        <f>D17-D31</f>
        <v>0</v>
      </c>
      <c r="E32" s="43">
        <f>E17-E31</f>
        <v>0</v>
      </c>
      <c r="F32" s="43">
        <f>F17-F31</f>
        <v>0</v>
      </c>
      <c r="G32" s="43">
        <f>G17-G31</f>
        <v>0</v>
      </c>
    </row>
    <row r="33" spans="2:7" x14ac:dyDescent="0.35">
      <c r="B33" t="s">
        <v>210</v>
      </c>
      <c r="C33">
        <f>IF(C32&lt;0,ABS(C32),0)</f>
        <v>0</v>
      </c>
      <c r="D33">
        <f t="shared" ref="D33:G33" si="9">IF(D32&lt;0,ABS(D32),0)</f>
        <v>0</v>
      </c>
      <c r="E33">
        <f t="shared" si="9"/>
        <v>0</v>
      </c>
      <c r="F33">
        <f t="shared" si="9"/>
        <v>0</v>
      </c>
      <c r="G33">
        <f t="shared" si="9"/>
        <v>0</v>
      </c>
    </row>
    <row r="34" spans="2:7" outlineLevel="1" x14ac:dyDescent="0.35">
      <c r="B34" t="s">
        <v>56</v>
      </c>
      <c r="C34" s="38" t="s">
        <v>172</v>
      </c>
      <c r="D34" s="38" t="s">
        <v>172</v>
      </c>
      <c r="E34" s="38" t="s">
        <v>172</v>
      </c>
      <c r="F34" s="38" t="s">
        <v>172</v>
      </c>
      <c r="G34" s="87">
        <f>(G5/C5)^(1/4)-1</f>
        <v>0.15999999999999992</v>
      </c>
    </row>
    <row r="35" spans="2:7" x14ac:dyDescent="0.35">
      <c r="B35" t="s">
        <v>337</v>
      </c>
      <c r="C35" s="69">
        <f>C17/C29</f>
        <v>0.12956982497882141</v>
      </c>
      <c r="D35" s="69">
        <f t="shared" ref="D35:G35" si="10">D17/D29</f>
        <v>0.11999999999999998</v>
      </c>
      <c r="E35" s="69">
        <f t="shared" si="10"/>
        <v>0.11999999999999998</v>
      </c>
      <c r="F35" s="69">
        <f t="shared" si="10"/>
        <v>0.12</v>
      </c>
      <c r="G35" s="69">
        <f t="shared" si="10"/>
        <v>0.12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30AF-E5AB-481F-9719-5CE9FEF22AE6}">
  <dimension ref="A1:K22"/>
  <sheetViews>
    <sheetView showGridLines="0" zoomScale="87" workbookViewId="0">
      <selection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5" width="14.26953125" customWidth="1"/>
    <col min="6" max="6" width="14.6328125" customWidth="1"/>
    <col min="7" max="7" width="14.26953125" customWidth="1"/>
  </cols>
  <sheetData>
    <row r="1" spans="1:11" ht="21" x14ac:dyDescent="0.5">
      <c r="B1" s="114" t="s">
        <v>417</v>
      </c>
    </row>
    <row r="3" spans="1:11" x14ac:dyDescent="0.35">
      <c r="A3" t="s">
        <v>52</v>
      </c>
      <c r="B3" s="23" t="s">
        <v>54</v>
      </c>
      <c r="C3" s="55" t="s">
        <v>304</v>
      </c>
      <c r="D3" s="49"/>
      <c r="E3" s="49"/>
      <c r="F3" s="49"/>
      <c r="G3" s="49"/>
    </row>
    <row r="4" spans="1:11" outlineLevel="1" x14ac:dyDescent="0.35">
      <c r="B4" t="s">
        <v>55</v>
      </c>
      <c r="C4" s="41">
        <f>(Historical_Financials!G21/Historical_Financials!C21)^(1/4)-1</f>
        <v>0.24993531322814766</v>
      </c>
      <c r="D4" s="35"/>
      <c r="E4" s="35"/>
      <c r="F4" s="35"/>
    </row>
    <row r="5" spans="1:11" outlineLevel="1" x14ac:dyDescent="0.35">
      <c r="B5" t="s">
        <v>56</v>
      </c>
      <c r="C5" s="41">
        <f>(Historical_Financials!G19/Historical_Financials!C19)^(1/4)-1</f>
        <v>0.23135591572903436</v>
      </c>
      <c r="D5" s="35"/>
      <c r="E5" s="35"/>
      <c r="F5" s="35"/>
    </row>
    <row r="6" spans="1:11" outlineLevel="1" x14ac:dyDescent="0.35">
      <c r="B6" t="s">
        <v>57</v>
      </c>
      <c r="C6" s="41">
        <f>(Historical_Financials!G17/Historical_Financials!C17)^(1/4)-1</f>
        <v>0.19402127728708596</v>
      </c>
      <c r="D6" s="35"/>
      <c r="E6" s="35"/>
      <c r="F6" s="35"/>
    </row>
    <row r="7" spans="1:11" outlineLevel="1" x14ac:dyDescent="0.35">
      <c r="B7" t="s">
        <v>58</v>
      </c>
      <c r="C7" s="41">
        <f>(Historical_Financials!G13/Historical_Financials!C13)^(1/4)-1</f>
        <v>0.23220514393303926</v>
      </c>
      <c r="D7" s="35"/>
      <c r="E7" s="35"/>
      <c r="F7" s="35"/>
    </row>
    <row r="8" spans="1:11" outlineLevel="1" x14ac:dyDescent="0.35">
      <c r="B8" t="s">
        <v>305</v>
      </c>
      <c r="C8" s="41">
        <f>(Historical_Financials!G16/Historical_Financials!C16)^(1/4)-1</f>
        <v>0.2557904231154251</v>
      </c>
      <c r="D8" s="35"/>
      <c r="E8" s="35"/>
      <c r="F8" s="35"/>
    </row>
    <row r="9" spans="1:11" outlineLevel="1" x14ac:dyDescent="0.35">
      <c r="B9" t="s">
        <v>306</v>
      </c>
      <c r="C9" s="41">
        <f>(Historical_Financials!G8/Historical_Financials!C8)^(1/4)-1</f>
        <v>0.21788857342789503</v>
      </c>
      <c r="D9" s="35"/>
      <c r="E9" s="35"/>
      <c r="F9" s="35"/>
    </row>
    <row r="10" spans="1:11" outlineLevel="1" x14ac:dyDescent="0.35">
      <c r="C10" s="35"/>
      <c r="D10" s="35"/>
      <c r="E10" s="35"/>
      <c r="F10" s="35"/>
      <c r="G10" s="41"/>
    </row>
    <row r="11" spans="1:11" outlineLevel="1" x14ac:dyDescent="0.35">
      <c r="B11" s="21" t="s">
        <v>3</v>
      </c>
      <c r="C11" s="34" t="s">
        <v>12</v>
      </c>
      <c r="D11" s="34" t="s">
        <v>13</v>
      </c>
      <c r="E11" s="34" t="s">
        <v>14</v>
      </c>
      <c r="F11" s="34" t="s">
        <v>15</v>
      </c>
      <c r="G11" s="34" t="s">
        <v>1</v>
      </c>
    </row>
    <row r="12" spans="1:11" ht="7.5" customHeight="1" x14ac:dyDescent="0.35"/>
    <row r="13" spans="1:11" x14ac:dyDescent="0.35">
      <c r="A13" t="s">
        <v>52</v>
      </c>
      <c r="B13" s="23" t="s">
        <v>59</v>
      </c>
      <c r="C13" s="23"/>
      <c r="D13" s="23"/>
      <c r="E13" s="23"/>
      <c r="F13" s="23"/>
      <c r="G13" s="23"/>
    </row>
    <row r="14" spans="1:11" outlineLevel="1" x14ac:dyDescent="0.35">
      <c r="B14" t="s">
        <v>5</v>
      </c>
      <c r="C14" s="41" t="s">
        <v>172</v>
      </c>
      <c r="D14" s="41">
        <f>Historical_Financials!D13/(AVERAGE(Historical_Financials!D16,Historical_Financials!C16))</f>
        <v>0.16691255974475541</v>
      </c>
      <c r="E14" s="41">
        <f>Historical_Financials!E13/(AVERAGE(Historical_Financials!E16,Historical_Financials!D16))</f>
        <v>0.17195165239107921</v>
      </c>
      <c r="F14" s="41">
        <f>Historical_Financials!F13/(AVERAGE(Historical_Financials!F16,Historical_Financials!E16))</f>
        <v>0.1754991316752986</v>
      </c>
      <c r="G14" s="41">
        <f>Historical_Financials!G13/(AVERAGE(Historical_Financials!G16,Historical_Financials!F16))</f>
        <v>0.15015604824872322</v>
      </c>
    </row>
    <row r="15" spans="1:11" outlineLevel="1" x14ac:dyDescent="0.35">
      <c r="B15" t="s">
        <v>6</v>
      </c>
      <c r="C15" s="41" t="s">
        <v>172</v>
      </c>
      <c r="D15" s="41">
        <f>Historical_Financials!D13/AVERAGE(Historical_Financials!C21,Historical_Financials!D21)</f>
        <v>1.9452631962382085E-2</v>
      </c>
      <c r="E15" s="41">
        <f>Historical_Financials!E13/AVERAGE(Historical_Financials!D21,Historical_Financials!E21)</f>
        <v>1.9834542419925397E-2</v>
      </c>
      <c r="F15" s="41">
        <f>Historical_Financials!F13/AVERAGE(Historical_Financials!E21,Historical_Financials!F21)</f>
        <v>1.9951295201722126E-2</v>
      </c>
      <c r="G15" s="41">
        <f>Historical_Financials!G13/AVERAGE(Historical_Financials!F21,Historical_Financials!G21)</f>
        <v>1.7438811805698725E-2</v>
      </c>
    </row>
    <row r="16" spans="1:11" outlineLevel="1" x14ac:dyDescent="0.35">
      <c r="B16" t="s">
        <v>22</v>
      </c>
      <c r="C16" s="41" t="s">
        <v>172</v>
      </c>
      <c r="D16" s="41">
        <f>Historical_Financials!D8/AVERAGE(Historical_Financials!D19,Historical_Financials!C19)</f>
        <v>5.9359461486414578E-2</v>
      </c>
      <c r="E16" s="41">
        <f>Historical_Financials!E8/AVERAGE(Historical_Financials!E19,Historical_Financials!D19)</f>
        <v>6.0316172585985553E-2</v>
      </c>
      <c r="F16" s="41">
        <f>Historical_Financials!F8/AVERAGE(Historical_Financials!F19,Historical_Financials!E19)</f>
        <v>6.1265539167547171E-2</v>
      </c>
      <c r="G16" s="41">
        <f>Historical_Financials!G8/AVERAGE(Historical_Financials!G19,Historical_Financials!F19)</f>
        <v>5.7636795131165028E-2</v>
      </c>
      <c r="K16" s="42"/>
    </row>
    <row r="17" spans="1:7" outlineLevel="1" x14ac:dyDescent="0.35">
      <c r="B17" t="s">
        <v>60</v>
      </c>
      <c r="C17" s="41">
        <f>Historical_Financials!C11/Historical_Financials!C10</f>
        <v>0.36219056974561376</v>
      </c>
      <c r="D17" s="41">
        <f>Historical_Financials!D11/Historical_Financials!D10</f>
        <v>0.3694623286161523</v>
      </c>
      <c r="E17" s="41">
        <f>Historical_Financials!E11/Historical_Financials!E10</f>
        <v>0.40614114258008915</v>
      </c>
      <c r="F17" s="41">
        <f>Historical_Financials!F11/Historical_Financials!F10</f>
        <v>0.59982512935865817</v>
      </c>
      <c r="G17" s="41">
        <f>Historical_Financials!G11/Historical_Financials!G10</f>
        <v>0.61530208880003623</v>
      </c>
    </row>
    <row r="19" spans="1:7" x14ac:dyDescent="0.35">
      <c r="A19" t="s">
        <v>52</v>
      </c>
      <c r="B19" s="23" t="s">
        <v>61</v>
      </c>
      <c r="C19" s="23"/>
      <c r="D19" s="23"/>
      <c r="E19" s="23"/>
      <c r="F19" s="23"/>
      <c r="G19" s="23"/>
    </row>
    <row r="20" spans="1:7" x14ac:dyDescent="0.35">
      <c r="B20" t="s">
        <v>62</v>
      </c>
      <c r="C20" s="41">
        <f>Historical_Financials!C19/Historical_Financials!C17</f>
        <v>0.8887043291996749</v>
      </c>
      <c r="D20" s="41">
        <f>Historical_Financials!D19/Historical_Financials!D17</f>
        <v>0.91202793103682223</v>
      </c>
      <c r="E20" s="41">
        <f>Historical_Financials!E19/Historical_Financials!E17</f>
        <v>0.88276503511714055</v>
      </c>
      <c r="F20" s="41">
        <f>Historical_Financials!F19/Historical_Financials!F17</f>
        <v>1.0795174981962126</v>
      </c>
      <c r="G20" s="41">
        <f>Historical_Financials!G19/Historical_Financials!G17</f>
        <v>1.0051790693743601</v>
      </c>
    </row>
    <row r="21" spans="1:7" x14ac:dyDescent="0.35">
      <c r="B21" t="s">
        <v>63</v>
      </c>
      <c r="C21" s="68">
        <f>Historical_Financials!C21/Historical_Financials!C16</f>
        <v>8.5768314684811067</v>
      </c>
      <c r="D21" s="68">
        <f>Historical_Financials!D21/Historical_Financials!D16</f>
        <v>8.5835409168386825</v>
      </c>
      <c r="E21" s="68">
        <f>Historical_Financials!E21/Historical_Financials!E16</f>
        <v>8.7425867069747358</v>
      </c>
      <c r="F21" s="68">
        <f>Historical_Financials!F21/Historical_Financials!F16</f>
        <v>8.8304912463484229</v>
      </c>
      <c r="G21" s="68">
        <f>Historical_Financials!G21/Historical_Financials!G16</f>
        <v>8.4179891430908551</v>
      </c>
    </row>
    <row r="22" spans="1:7" x14ac:dyDescent="0.35">
      <c r="B22" t="s">
        <v>64</v>
      </c>
      <c r="C22" s="41">
        <f>Historical_Financials!C12/Historical_Financials!C19</f>
        <v>2.5124511981740875E-2</v>
      </c>
      <c r="D22" s="41">
        <f>Historical_Financials!D12/Historical_Financials!D19</f>
        <v>2.1568603054024124E-2</v>
      </c>
      <c r="E22" s="41">
        <f>Historical_Financials!E12/Historical_Financials!E19</f>
        <v>1.7571998240692409E-2</v>
      </c>
      <c r="F22" s="41">
        <f>Historical_Financials!F12/Historical_Financials!F19</f>
        <v>1.4084921855675878E-2</v>
      </c>
      <c r="G22" s="41">
        <f>Historical_Financials!G12/Historical_Financials!G19</f>
        <v>1.3569662072624795E-2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E26D-91E9-49F1-8933-53698FCB963F}">
  <dimension ref="A1:J34"/>
  <sheetViews>
    <sheetView showGridLines="0" zoomScale="92" zoomScaleNormal="6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5" outlineLevelRow="1" x14ac:dyDescent="0.35"/>
  <cols>
    <col min="1" max="1" width="1.90625" customWidth="1"/>
    <col min="2" max="2" width="30.26953125" customWidth="1"/>
    <col min="3" max="5" width="14.26953125" customWidth="1"/>
    <col min="6" max="6" width="14.6328125" customWidth="1"/>
    <col min="7" max="7" width="14.26953125" customWidth="1"/>
  </cols>
  <sheetData>
    <row r="1" spans="1:8" ht="21" x14ac:dyDescent="0.5">
      <c r="B1" s="114" t="s">
        <v>417</v>
      </c>
    </row>
    <row r="3" spans="1:8" x14ac:dyDescent="0.35">
      <c r="A3" t="s">
        <v>52</v>
      </c>
      <c r="B3" s="21" t="s">
        <v>3</v>
      </c>
      <c r="C3" s="34" t="s">
        <v>12</v>
      </c>
      <c r="D3" s="34" t="s">
        <v>13</v>
      </c>
      <c r="E3" s="34" t="s">
        <v>14</v>
      </c>
      <c r="F3" s="34" t="s">
        <v>15</v>
      </c>
      <c r="G3" s="34" t="s">
        <v>1</v>
      </c>
    </row>
    <row r="4" spans="1:8" ht="7.5" customHeight="1" x14ac:dyDescent="0.35">
      <c r="C4" s="35"/>
      <c r="D4" s="35"/>
      <c r="E4" s="35"/>
    </row>
    <row r="5" spans="1:8" x14ac:dyDescent="0.35">
      <c r="A5" t="s">
        <v>52</v>
      </c>
      <c r="B5" s="23" t="s">
        <v>41</v>
      </c>
      <c r="C5" s="36"/>
      <c r="D5" s="36"/>
      <c r="E5" s="36"/>
      <c r="F5" s="24"/>
      <c r="G5" s="24"/>
    </row>
    <row r="6" spans="1:8" outlineLevel="1" x14ac:dyDescent="0.35">
      <c r="B6" t="s">
        <v>24</v>
      </c>
      <c r="C6" s="37">
        <f>'Income Statement (Cons-Stand)'!F8</f>
        <v>128552.39</v>
      </c>
      <c r="D6" s="37">
        <f>'Income Statement (Cons-Stand)'!E8</f>
        <v>135936.41</v>
      </c>
      <c r="E6" s="37">
        <f>'Income Statement (Cons-Stand)'!D8</f>
        <v>170754.05</v>
      </c>
      <c r="F6" s="37">
        <f>'Income Statement (Cons-Stand)'!C8</f>
        <v>283649.02</v>
      </c>
      <c r="G6" s="37">
        <f>'Income Statement (Cons-Stand)'!B8</f>
        <v>336367.43</v>
      </c>
      <c r="H6" s="82" t="s">
        <v>285</v>
      </c>
    </row>
    <row r="7" spans="1:8" outlineLevel="1" x14ac:dyDescent="0.35">
      <c r="B7" t="s">
        <v>25</v>
      </c>
      <c r="C7" s="37">
        <f>'Income Statement (Cons-Stand)'!F12</f>
        <v>59247.58</v>
      </c>
      <c r="D7" s="37">
        <f>'Income Statement (Cons-Stand)'!E12</f>
        <v>58584.33</v>
      </c>
      <c r="E7" s="37">
        <f>'Income Statement (Cons-Stand)'!D12</f>
        <v>77779.94</v>
      </c>
      <c r="F7" s="37">
        <f>'Income Statement (Cons-Stand)'!C12</f>
        <v>154138.54999999999</v>
      </c>
      <c r="G7" s="37">
        <f>'Income Statement (Cons-Stand)'!B12</f>
        <v>183894.2</v>
      </c>
    </row>
    <row r="8" spans="1:8" outlineLevel="1" x14ac:dyDescent="0.35">
      <c r="B8" t="s">
        <v>42</v>
      </c>
      <c r="C8" s="38">
        <f>C6-C7</f>
        <v>69304.81</v>
      </c>
      <c r="D8" s="38">
        <f>D6-D7</f>
        <v>77352.08</v>
      </c>
      <c r="E8" s="38">
        <f>E6-E7</f>
        <v>92974.109999999986</v>
      </c>
      <c r="F8" s="38">
        <f>F6-F7</f>
        <v>129510.47000000003</v>
      </c>
      <c r="G8" s="38">
        <f>G6-G7</f>
        <v>152473.22999999998</v>
      </c>
      <c r="H8" s="82" t="s">
        <v>286</v>
      </c>
    </row>
    <row r="9" spans="1:8" outlineLevel="1" x14ac:dyDescent="0.35">
      <c r="B9" t="s">
        <v>43</v>
      </c>
      <c r="C9" s="37">
        <f>'Income Statement (Cons-Stand)'!F9</f>
        <v>27332.880000000001</v>
      </c>
      <c r="D9" s="37">
        <f>'Income Statement (Cons-Stand)'!E9</f>
        <v>31758.99</v>
      </c>
      <c r="E9" s="37">
        <f>'Income Statement (Cons-Stand)'!D9</f>
        <v>33912.050000000003</v>
      </c>
      <c r="F9" s="37">
        <f>'Income Statement (Cons-Stand)'!C9</f>
        <v>124345.75</v>
      </c>
      <c r="G9" s="37">
        <f>'Income Statement (Cons-Stand)'!B9</f>
        <v>134548.5</v>
      </c>
      <c r="H9" s="82" t="s">
        <v>287</v>
      </c>
    </row>
    <row r="10" spans="1:8" outlineLevel="1" x14ac:dyDescent="0.35">
      <c r="B10" t="s">
        <v>44</v>
      </c>
      <c r="C10" s="38">
        <f>C8+C9</f>
        <v>96637.69</v>
      </c>
      <c r="D10" s="38">
        <f>D8+D9</f>
        <v>109111.07</v>
      </c>
      <c r="E10" s="38">
        <f>E8+E9</f>
        <v>126886.15999999999</v>
      </c>
      <c r="F10" s="38">
        <f>F8+F9</f>
        <v>253856.22000000003</v>
      </c>
      <c r="G10" s="38">
        <f>G8+G9</f>
        <v>287021.73</v>
      </c>
    </row>
    <row r="11" spans="1:8" outlineLevel="1" x14ac:dyDescent="0.35">
      <c r="B11" t="s">
        <v>45</v>
      </c>
      <c r="C11" s="37">
        <f>'Income Statement (Cons-Stand)'!F16</f>
        <v>35001.26</v>
      </c>
      <c r="D11" s="37">
        <f>'Income Statement (Cons-Stand)'!E16</f>
        <v>40312.43</v>
      </c>
      <c r="E11" s="37">
        <f>'Income Statement (Cons-Stand)'!D16</f>
        <v>51533.69</v>
      </c>
      <c r="F11" s="37">
        <f>'Income Statement (Cons-Stand)'!C16</f>
        <v>152269.34</v>
      </c>
      <c r="G11" s="37">
        <f>'Income Statement (Cons-Stand)'!B16</f>
        <v>176605.07</v>
      </c>
      <c r="H11" s="82" t="s">
        <v>288</v>
      </c>
    </row>
    <row r="12" spans="1:8" outlineLevel="1" x14ac:dyDescent="0.35">
      <c r="B12" t="s">
        <v>129</v>
      </c>
      <c r="C12" s="37">
        <f>'Income Statement (Cons-Stand)'!F17</f>
        <v>29779.67</v>
      </c>
      <c r="D12" s="37">
        <f>'Income Statement (Cons-Stand)'!E17</f>
        <v>30647.74</v>
      </c>
      <c r="E12" s="37">
        <f>'Income Statement (Cons-Stand)'!D17</f>
        <v>29203.77</v>
      </c>
      <c r="F12" s="37">
        <f>'Income Statement (Cons-Stand)'!C17</f>
        <v>36140.379999999997</v>
      </c>
      <c r="G12" s="37">
        <f>'Income Statement (Cons-Stand)'!B17</f>
        <v>36976.49</v>
      </c>
      <c r="H12" s="82" t="s">
        <v>289</v>
      </c>
    </row>
    <row r="13" spans="1:8" outlineLevel="1" x14ac:dyDescent="0.35">
      <c r="B13" t="s">
        <v>4</v>
      </c>
      <c r="C13" s="38">
        <f>C10-SUM(C11:C12)</f>
        <v>31856.760000000002</v>
      </c>
      <c r="D13" s="38">
        <f>D10-SUM(D11:D12)</f>
        <v>38150.900000000009</v>
      </c>
      <c r="E13" s="38">
        <f>E10-SUM(E11:E12)</f>
        <v>46148.699999999983</v>
      </c>
      <c r="F13" s="38">
        <f>F10-SUM(F11:F12)</f>
        <v>65446.500000000029</v>
      </c>
      <c r="G13" s="38">
        <f>G10-SUM(G11:G12)</f>
        <v>73440.169999999984</v>
      </c>
      <c r="H13" s="82" t="s">
        <v>290</v>
      </c>
    </row>
    <row r="15" spans="1:8" x14ac:dyDescent="0.35">
      <c r="A15" t="s">
        <v>52</v>
      </c>
      <c r="B15" s="23" t="s">
        <v>46</v>
      </c>
      <c r="C15" s="24"/>
      <c r="D15" s="24"/>
      <c r="E15" s="24"/>
      <c r="F15" s="24"/>
      <c r="G15" s="24"/>
    </row>
    <row r="16" spans="1:8" outlineLevel="1" x14ac:dyDescent="0.35">
      <c r="B16" t="s">
        <v>11</v>
      </c>
      <c r="C16" s="37">
        <f>'Balance Sheet (Cons-Stand)'!F12</f>
        <v>209810.19</v>
      </c>
      <c r="D16" s="37">
        <f>'Balance Sheet (Cons-Stand)'!E12</f>
        <v>247326.17</v>
      </c>
      <c r="E16" s="37">
        <f>'Balance Sheet (Cons-Stand)'!D12</f>
        <v>289437.5</v>
      </c>
      <c r="F16" s="37">
        <f>'Balance Sheet (Cons-Stand)'!C12</f>
        <v>456395.25</v>
      </c>
      <c r="G16" s="37">
        <f>'Balance Sheet (Cons-Stand)'!B12</f>
        <v>521789.39</v>
      </c>
      <c r="H16" s="82" t="s">
        <v>291</v>
      </c>
    </row>
    <row r="17" spans="1:10" outlineLevel="1" x14ac:dyDescent="0.35">
      <c r="B17" t="s">
        <v>28</v>
      </c>
      <c r="C17" s="37">
        <f>'Balance Sheet (Cons-Stand)'!F13</f>
        <v>1333720.8799999999</v>
      </c>
      <c r="D17" s="37">
        <f>'Balance Sheet (Cons-Stand)'!E13</f>
        <v>1558003.03</v>
      </c>
      <c r="E17" s="37">
        <f>'Balance Sheet (Cons-Stand)'!D13</f>
        <v>1882663.25</v>
      </c>
      <c r="F17" s="37">
        <f>'Balance Sheet (Cons-Stand)'!C13</f>
        <v>2376887.2799999998</v>
      </c>
      <c r="G17" s="37">
        <f>'Balance Sheet (Cons-Stand)'!B13</f>
        <v>2710898.23</v>
      </c>
      <c r="H17" s="82" t="s">
        <v>292</v>
      </c>
    </row>
    <row r="18" spans="1:10" outlineLevel="1" x14ac:dyDescent="0.35">
      <c r="B18" t="s">
        <v>29</v>
      </c>
      <c r="C18" s="37">
        <f>'Balance Sheet (Cons-Stand)'!F14</f>
        <v>177696.75</v>
      </c>
      <c r="D18" s="37">
        <f>'Balance Sheet (Cons-Stand)'!E14</f>
        <v>226966.5</v>
      </c>
      <c r="E18" s="37">
        <f>'Balance Sheet (Cons-Stand)'!D14</f>
        <v>256548.66</v>
      </c>
      <c r="F18" s="37">
        <f>'Balance Sheet (Cons-Stand)'!C14</f>
        <v>730615.46</v>
      </c>
      <c r="G18" s="37">
        <f>'Balance Sheet (Cons-Stand)'!B14</f>
        <v>634605.56999999995</v>
      </c>
      <c r="H18" s="82" t="s">
        <v>293</v>
      </c>
    </row>
    <row r="19" spans="1:10" outlineLevel="1" x14ac:dyDescent="0.35">
      <c r="B19" t="s">
        <v>47</v>
      </c>
      <c r="C19" s="37">
        <f>'Balance Sheet (Cons-Stand)'!F27</f>
        <v>1185283.52</v>
      </c>
      <c r="D19" s="37">
        <f>'Balance Sheet (Cons-Stand)'!E27</f>
        <v>1420942.28</v>
      </c>
      <c r="E19" s="37">
        <f>'Balance Sheet (Cons-Stand)'!D27</f>
        <v>1661949.29</v>
      </c>
      <c r="F19" s="37">
        <f>'Balance Sheet (Cons-Stand)'!C27</f>
        <v>2565891.41</v>
      </c>
      <c r="G19" s="37">
        <f>'Balance Sheet (Cons-Stand)'!B27</f>
        <v>2724938.16</v>
      </c>
      <c r="H19" s="82" t="s">
        <v>294</v>
      </c>
    </row>
    <row r="20" spans="1:10" outlineLevel="1" x14ac:dyDescent="0.35">
      <c r="B20" t="s">
        <v>48</v>
      </c>
      <c r="C20" s="37">
        <f>'Balance Sheet (Cons-Stand)'!F28</f>
        <v>438823.11</v>
      </c>
      <c r="D20" s="37">
        <f>'Balance Sheet (Cons-Stand)'!E28</f>
        <v>449263.86</v>
      </c>
      <c r="E20" s="37">
        <f>'Balance Sheet (Cons-Stand)'!D28</f>
        <v>511581.71</v>
      </c>
      <c r="F20" s="37">
        <f>'Balance Sheet (Cons-Stand)'!C28</f>
        <v>1005681.63</v>
      </c>
      <c r="G20" s="37">
        <f>'Balance Sheet (Cons-Stand)'!B28</f>
        <v>1186472.8899999999</v>
      </c>
      <c r="H20" s="82" t="s">
        <v>295</v>
      </c>
    </row>
    <row r="21" spans="1:10" outlineLevel="1" x14ac:dyDescent="0.35">
      <c r="B21" t="s">
        <v>10</v>
      </c>
      <c r="C21" s="37">
        <f>'Balance Sheet (Cons-Stand)'!F32</f>
        <v>1799506.64</v>
      </c>
      <c r="D21" s="37">
        <f>'Balance Sheet (Cons-Stand)'!E32</f>
        <v>2122934.2999999998</v>
      </c>
      <c r="E21" s="37">
        <f>'Balance Sheet (Cons-Stand)'!D32</f>
        <v>2530432.44</v>
      </c>
      <c r="F21" s="37">
        <f>'Balance Sheet (Cons-Stand)'!C32</f>
        <v>4030194.26</v>
      </c>
      <c r="G21" s="37">
        <f>'Balance Sheet (Cons-Stand)'!B32</f>
        <v>4392417.42</v>
      </c>
      <c r="H21" s="82" t="s">
        <v>296</v>
      </c>
    </row>
    <row r="23" spans="1:10" x14ac:dyDescent="0.35">
      <c r="A23" t="s">
        <v>52</v>
      </c>
      <c r="B23" s="23" t="s">
        <v>49</v>
      </c>
      <c r="C23" s="24"/>
      <c r="D23" s="24"/>
      <c r="E23" s="24"/>
      <c r="F23" s="24"/>
      <c r="G23" s="24"/>
    </row>
    <row r="24" spans="1:10" outlineLevel="1" x14ac:dyDescent="0.35">
      <c r="B24" t="s">
        <v>9</v>
      </c>
      <c r="C24" s="37">
        <f>'Cash Flow Statement (Cons-Stand'!F8</f>
        <v>42476.46</v>
      </c>
      <c r="D24" s="37">
        <f>'Cash Flow Statement (Cons-Stand'!E8</f>
        <v>-11959.57</v>
      </c>
      <c r="E24" s="37">
        <f>'Cash Flow Statement (Cons-Stand'!D8</f>
        <v>20813.7</v>
      </c>
      <c r="F24" s="37">
        <f>'Cash Flow Statement (Cons-Stand'!C8</f>
        <v>19069.34</v>
      </c>
      <c r="G24" s="37">
        <f>'Cash Flow Statement (Cons-Stand'!B8</f>
        <v>127241.84</v>
      </c>
      <c r="H24" s="82" t="s">
        <v>297</v>
      </c>
    </row>
    <row r="25" spans="1:10" outlineLevel="1" x14ac:dyDescent="0.35">
      <c r="B25" t="s">
        <v>50</v>
      </c>
      <c r="C25" s="37">
        <f>'Cash Flow Statement (Cons-Stand'!F9</f>
        <v>-1680.87</v>
      </c>
      <c r="D25" s="37">
        <f>'Cash Flow Statement (Cons-Stand'!E9</f>
        <v>-2216.33</v>
      </c>
      <c r="E25" s="37">
        <f>'Cash Flow Statement (Cons-Stand'!D9</f>
        <v>-3423.89</v>
      </c>
      <c r="F25" s="37">
        <f>'Cash Flow Statement (Cons-Stand'!C9</f>
        <v>5313.77</v>
      </c>
      <c r="G25" s="37">
        <f>'Cash Flow Statement (Cons-Stand'!B9</f>
        <v>-3850.64</v>
      </c>
    </row>
    <row r="26" spans="1:10" outlineLevel="1" x14ac:dyDescent="0.35">
      <c r="B26" t="s">
        <v>51</v>
      </c>
      <c r="C26" s="37">
        <f>'Cash Flow Statement (Cons-Stand'!F10</f>
        <v>-7321.35</v>
      </c>
      <c r="D26" s="37">
        <f>'Cash Flow Statement (Cons-Stand'!E10</f>
        <v>48124.02</v>
      </c>
      <c r="E26" s="37">
        <f>'Cash Flow Statement (Cons-Stand'!D10</f>
        <v>23940.560000000001</v>
      </c>
      <c r="F26" s="37">
        <f>'Cash Flow Statement (Cons-Stand'!C10</f>
        <v>-3983.06</v>
      </c>
      <c r="G26" s="37">
        <f>'Cash Flow Statement (Cons-Stand'!B10</f>
        <v>-102477.54</v>
      </c>
      <c r="H26" s="82" t="s">
        <v>298</v>
      </c>
    </row>
    <row r="27" spans="1:10" outlineLevel="1" x14ac:dyDescent="0.35">
      <c r="B27" t="s">
        <v>53</v>
      </c>
      <c r="C27" s="38">
        <f>SUM(C24:C26)</f>
        <v>33474.239999999998</v>
      </c>
      <c r="D27" s="38">
        <f t="shared" ref="D27:G27" si="0">SUM(D24:D26)</f>
        <v>33948.119999999995</v>
      </c>
      <c r="E27" s="38">
        <f t="shared" si="0"/>
        <v>41330.370000000003</v>
      </c>
      <c r="F27" s="38">
        <f t="shared" si="0"/>
        <v>20400.05</v>
      </c>
      <c r="G27" s="38">
        <f t="shared" si="0"/>
        <v>20913.660000000003</v>
      </c>
    </row>
    <row r="28" spans="1:10" outlineLevel="1" x14ac:dyDescent="0.35">
      <c r="B28" t="s">
        <v>171</v>
      </c>
      <c r="C28" s="39">
        <v>-141.82000000000698</v>
      </c>
      <c r="D28" s="39">
        <v>165.10000000000582</v>
      </c>
      <c r="E28" s="39">
        <v>431.70999999999185</v>
      </c>
      <c r="F28" s="39">
        <v>11286.650000000023</v>
      </c>
      <c r="G28" s="39">
        <v>199.72999999998137</v>
      </c>
      <c r="J28" s="38"/>
    </row>
    <row r="29" spans="1:10" x14ac:dyDescent="0.35">
      <c r="E29" s="40"/>
      <c r="F29" s="40"/>
      <c r="G29" s="40"/>
    </row>
    <row r="30" spans="1:10" x14ac:dyDescent="0.35">
      <c r="A30" t="s">
        <v>52</v>
      </c>
      <c r="B30" s="23" t="s">
        <v>299</v>
      </c>
      <c r="C30" s="23"/>
      <c r="D30" s="23"/>
      <c r="E30" s="23"/>
      <c r="F30" s="23"/>
      <c r="G30" s="23"/>
    </row>
    <row r="31" spans="1:10" x14ac:dyDescent="0.35">
      <c r="B31" t="s">
        <v>300</v>
      </c>
    </row>
    <row r="32" spans="1:10" x14ac:dyDescent="0.35">
      <c r="B32" t="s">
        <v>301</v>
      </c>
    </row>
    <row r="33" spans="2:2" x14ac:dyDescent="0.35">
      <c r="B33" t="s">
        <v>302</v>
      </c>
    </row>
    <row r="34" spans="2:2" x14ac:dyDescent="0.35">
      <c r="B34" t="s">
        <v>303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DB3A-7ABA-4F98-A8E8-85C6E0E8C2EB}">
  <dimension ref="A1:D26"/>
  <sheetViews>
    <sheetView showGridLines="0" zoomScale="69"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5" x14ac:dyDescent="0.35"/>
  <cols>
    <col min="1" max="1" width="1.90625" customWidth="1"/>
    <col min="2" max="2" width="25.7265625" customWidth="1"/>
    <col min="3" max="4" width="14.90625" customWidth="1"/>
  </cols>
  <sheetData>
    <row r="1" spans="1:4" ht="21" x14ac:dyDescent="0.5">
      <c r="B1" s="114" t="s">
        <v>417</v>
      </c>
    </row>
    <row r="2" spans="1:4" x14ac:dyDescent="0.35">
      <c r="B2" s="20"/>
    </row>
    <row r="3" spans="1:4" x14ac:dyDescent="0.35">
      <c r="A3" t="s">
        <v>52</v>
      </c>
      <c r="B3" s="21" t="s">
        <v>3</v>
      </c>
      <c r="C3" s="22" t="s">
        <v>32</v>
      </c>
      <c r="D3" s="22" t="s">
        <v>2</v>
      </c>
    </row>
    <row r="4" spans="1:4" ht="7.5" customHeight="1" x14ac:dyDescent="0.35"/>
    <row r="5" spans="1:4" x14ac:dyDescent="0.35">
      <c r="A5" t="s">
        <v>52</v>
      </c>
      <c r="B5" s="23" t="s">
        <v>33</v>
      </c>
      <c r="C5" s="24"/>
      <c r="D5" s="24"/>
    </row>
    <row r="6" spans="1:4" x14ac:dyDescent="0.35">
      <c r="B6" t="s">
        <v>106</v>
      </c>
      <c r="C6" s="25">
        <v>6.5000000000000002E-2</v>
      </c>
      <c r="D6" t="s">
        <v>108</v>
      </c>
    </row>
    <row r="7" spans="1:4" x14ac:dyDescent="0.35">
      <c r="B7" t="s">
        <v>34</v>
      </c>
      <c r="C7" s="25">
        <v>0.05</v>
      </c>
      <c r="D7" t="s">
        <v>109</v>
      </c>
    </row>
    <row r="8" spans="1:4" x14ac:dyDescent="0.35">
      <c r="B8" t="s">
        <v>113</v>
      </c>
      <c r="C8" s="26">
        <v>6.5000000000000002E-2</v>
      </c>
      <c r="D8" t="s">
        <v>110</v>
      </c>
    </row>
    <row r="9" spans="1:4" x14ac:dyDescent="0.35">
      <c r="B9" t="s">
        <v>111</v>
      </c>
      <c r="C9" s="27">
        <v>0.8</v>
      </c>
    </row>
    <row r="10" spans="1:4" x14ac:dyDescent="0.35">
      <c r="B10" t="s">
        <v>112</v>
      </c>
      <c r="C10" s="26">
        <v>7.1249999999999994E-2</v>
      </c>
    </row>
    <row r="11" spans="1:4" x14ac:dyDescent="0.35">
      <c r="B11" t="s">
        <v>107</v>
      </c>
      <c r="C11" s="28">
        <f>RiskFreeRate+(Beta*MarketPremium)</f>
        <v>0.122</v>
      </c>
    </row>
    <row r="12" spans="1:4" x14ac:dyDescent="0.35">
      <c r="B12" t="s">
        <v>35</v>
      </c>
      <c r="C12" s="15">
        <f>'Income Statement (Cons-Stand)'!B12/'Balance Sheet (Cons-Stand)'!B15</f>
        <v>5.4967565722089454E-2</v>
      </c>
    </row>
    <row r="13" spans="1:4" x14ac:dyDescent="0.35">
      <c r="B13" t="s">
        <v>36</v>
      </c>
      <c r="C13" s="25">
        <v>4.4999999999999998E-2</v>
      </c>
    </row>
    <row r="14" spans="1:4" x14ac:dyDescent="0.35">
      <c r="B14" t="s">
        <v>37</v>
      </c>
      <c r="C14" s="26">
        <v>9.3100000000000002E-2</v>
      </c>
    </row>
    <row r="15" spans="1:4" x14ac:dyDescent="0.35">
      <c r="B15" t="s">
        <v>38</v>
      </c>
      <c r="C15" s="30">
        <v>1.6</v>
      </c>
    </row>
    <row r="16" spans="1:4" x14ac:dyDescent="0.35">
      <c r="B16" t="s">
        <v>21</v>
      </c>
      <c r="C16" s="29">
        <v>0.16</v>
      </c>
    </row>
    <row r="17" spans="2:3" x14ac:dyDescent="0.35">
      <c r="B17" t="s">
        <v>39</v>
      </c>
      <c r="C17" s="29">
        <v>0.14000000000000001</v>
      </c>
    </row>
    <row r="18" spans="2:3" x14ac:dyDescent="0.35">
      <c r="B18" t="s">
        <v>40</v>
      </c>
      <c r="C18" s="31">
        <v>5.8000000000000003E-2</v>
      </c>
    </row>
    <row r="19" spans="2:3" x14ac:dyDescent="0.35">
      <c r="B19" t="s">
        <v>23</v>
      </c>
      <c r="C19" s="31">
        <v>1.4E-2</v>
      </c>
    </row>
    <row r="20" spans="2:3" x14ac:dyDescent="0.35">
      <c r="B20" t="s">
        <v>42</v>
      </c>
      <c r="C20" s="32">
        <f>'Income Statement (Cons-Stand)'!B8-'Income Statement (Cons-Stand)'!B12</f>
        <v>152473.22999999998</v>
      </c>
    </row>
    <row r="21" spans="2:3" x14ac:dyDescent="0.35">
      <c r="B21" t="s">
        <v>169</v>
      </c>
      <c r="C21" s="32">
        <f>('Balance Sheet (Cons-Stand)'!C27+'Balance Sheet (Cons-Stand)'!B27)/2</f>
        <v>2645414.7850000001</v>
      </c>
    </row>
    <row r="22" spans="2:3" x14ac:dyDescent="0.35">
      <c r="B22" t="s">
        <v>176</v>
      </c>
      <c r="C22" s="31">
        <v>0.25</v>
      </c>
    </row>
    <row r="23" spans="2:3" x14ac:dyDescent="0.35">
      <c r="B23" t="s">
        <v>240</v>
      </c>
      <c r="C23" s="31">
        <v>0.2</v>
      </c>
    </row>
    <row r="24" spans="2:3" x14ac:dyDescent="0.35">
      <c r="B24" t="s">
        <v>194</v>
      </c>
      <c r="C24" s="31">
        <v>0.09</v>
      </c>
    </row>
    <row r="25" spans="2:3" x14ac:dyDescent="0.35">
      <c r="B25" t="s">
        <v>211</v>
      </c>
      <c r="C25" s="31">
        <v>0.8</v>
      </c>
    </row>
    <row r="26" spans="2:3" x14ac:dyDescent="0.35">
      <c r="B26" t="s">
        <v>212</v>
      </c>
      <c r="C26" s="31">
        <v>0.12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19D1-0901-4A78-886B-452F3EF43286}">
  <dimension ref="A1:F35"/>
  <sheetViews>
    <sheetView showGridLines="0" workbookViewId="0">
      <selection activeCell="D1" sqref="D1"/>
    </sheetView>
  </sheetViews>
  <sheetFormatPr defaultRowHeight="14.5" x14ac:dyDescent="0.35"/>
  <sheetData>
    <row r="1" spans="1:6" ht="21" x14ac:dyDescent="0.5">
      <c r="A1" s="114" t="s">
        <v>417</v>
      </c>
      <c r="B1" s="2"/>
    </row>
    <row r="2" spans="1:6" ht="16" x14ac:dyDescent="0.35">
      <c r="A2" s="3" t="s">
        <v>152</v>
      </c>
      <c r="B2" s="166" t="s">
        <v>31</v>
      </c>
      <c r="C2" s="167"/>
      <c r="D2" s="167"/>
      <c r="E2" s="167"/>
      <c r="F2" s="167"/>
    </row>
    <row r="3" spans="1:6" x14ac:dyDescent="0.35">
      <c r="A3" s="4"/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</row>
    <row r="4" spans="1:6" x14ac:dyDescent="0.35">
      <c r="A4" s="168"/>
      <c r="B4" s="168"/>
      <c r="C4" s="168"/>
      <c r="D4" s="168"/>
      <c r="E4" s="168"/>
      <c r="F4" s="168"/>
    </row>
    <row r="5" spans="1:6" x14ac:dyDescent="0.35">
      <c r="A5" s="6"/>
      <c r="B5" s="7" t="s">
        <v>120</v>
      </c>
      <c r="C5" s="7" t="s">
        <v>120</v>
      </c>
      <c r="D5" s="7" t="s">
        <v>120</v>
      </c>
      <c r="E5" s="7" t="s">
        <v>120</v>
      </c>
      <c r="F5" s="7" t="s">
        <v>120</v>
      </c>
    </row>
    <row r="6" spans="1:6" x14ac:dyDescent="0.35">
      <c r="A6" s="168"/>
      <c r="B6" s="168"/>
      <c r="C6" s="168"/>
      <c r="D6" s="168"/>
      <c r="E6" s="168"/>
      <c r="F6" s="168"/>
    </row>
    <row r="7" spans="1:6" x14ac:dyDescent="0.35">
      <c r="A7" s="169" t="s">
        <v>153</v>
      </c>
      <c r="B7" s="170"/>
      <c r="C7" s="5"/>
      <c r="D7" s="5"/>
      <c r="E7" s="5"/>
      <c r="F7" s="5"/>
    </row>
    <row r="8" spans="1:6" ht="16" x14ac:dyDescent="0.35">
      <c r="A8" s="6" t="s">
        <v>154</v>
      </c>
      <c r="B8" s="7">
        <v>765.22</v>
      </c>
      <c r="C8" s="7">
        <v>759.69</v>
      </c>
      <c r="D8" s="7">
        <v>557.97</v>
      </c>
      <c r="E8" s="7">
        <v>554.54999999999995</v>
      </c>
      <c r="F8" s="7">
        <v>551.28</v>
      </c>
    </row>
    <row r="9" spans="1:6" ht="16" x14ac:dyDescent="0.35">
      <c r="A9" s="6" t="s">
        <v>155</v>
      </c>
      <c r="B9" s="7">
        <v>765.22</v>
      </c>
      <c r="C9" s="7">
        <v>759.69</v>
      </c>
      <c r="D9" s="7">
        <v>557.97</v>
      </c>
      <c r="E9" s="7">
        <v>554.54999999999995</v>
      </c>
      <c r="F9" s="7">
        <v>551.28</v>
      </c>
    </row>
    <row r="10" spans="1:6" ht="16" x14ac:dyDescent="0.35">
      <c r="A10" s="6" t="s">
        <v>156</v>
      </c>
      <c r="B10" s="8">
        <v>3805.19</v>
      </c>
      <c r="C10" s="8">
        <v>2652.72</v>
      </c>
      <c r="D10" s="7">
        <v>0</v>
      </c>
      <c r="E10" s="7">
        <v>0</v>
      </c>
      <c r="F10" s="7">
        <v>0</v>
      </c>
    </row>
    <row r="11" spans="1:6" x14ac:dyDescent="0.35">
      <c r="A11" s="6" t="s">
        <v>157</v>
      </c>
      <c r="B11" s="8">
        <v>517218.98</v>
      </c>
      <c r="C11" s="8">
        <v>452982.84</v>
      </c>
      <c r="D11" s="8">
        <v>288879.53000000003</v>
      </c>
      <c r="E11" s="8">
        <v>246771.62</v>
      </c>
      <c r="F11" s="8">
        <v>209258.91</v>
      </c>
    </row>
    <row r="12" spans="1:6" x14ac:dyDescent="0.35">
      <c r="A12" s="4" t="s">
        <v>11</v>
      </c>
      <c r="B12" s="14">
        <v>521789.39</v>
      </c>
      <c r="C12" s="14">
        <v>456395.25</v>
      </c>
      <c r="D12" s="14">
        <v>289437.5</v>
      </c>
      <c r="E12" s="14">
        <v>247326.17</v>
      </c>
      <c r="F12" s="14">
        <v>209810.19</v>
      </c>
    </row>
    <row r="13" spans="1:6" x14ac:dyDescent="0.35">
      <c r="A13" s="6" t="s">
        <v>28</v>
      </c>
      <c r="B13" s="8">
        <v>2710898.23</v>
      </c>
      <c r="C13" s="8">
        <v>2376887.2799999998</v>
      </c>
      <c r="D13" s="8">
        <v>1882663.25</v>
      </c>
      <c r="E13" s="8">
        <v>1558003.03</v>
      </c>
      <c r="F13" s="8">
        <v>1333720.8799999999</v>
      </c>
    </row>
    <row r="14" spans="1:6" x14ac:dyDescent="0.35">
      <c r="A14" s="6" t="s">
        <v>29</v>
      </c>
      <c r="B14" s="8">
        <v>634605.56999999995</v>
      </c>
      <c r="C14" s="8">
        <v>730615.46</v>
      </c>
      <c r="D14" s="8">
        <v>256548.66</v>
      </c>
      <c r="E14" s="8">
        <v>226966.5</v>
      </c>
      <c r="F14" s="8">
        <v>177696.75</v>
      </c>
    </row>
    <row r="15" spans="1:6" x14ac:dyDescent="0.35">
      <c r="A15" s="4" t="s">
        <v>158</v>
      </c>
      <c r="B15" s="14">
        <v>3345503.8</v>
      </c>
      <c r="C15" s="14">
        <v>3107502.74</v>
      </c>
      <c r="D15" s="14">
        <v>2139211.91</v>
      </c>
      <c r="E15" s="14">
        <v>1784969.53</v>
      </c>
      <c r="F15" s="14">
        <v>1511417.63</v>
      </c>
    </row>
    <row r="16" spans="1:6" x14ac:dyDescent="0.35">
      <c r="A16" s="6" t="s">
        <v>132</v>
      </c>
      <c r="B16" s="8">
        <v>16359.04</v>
      </c>
      <c r="C16" s="8">
        <v>13383.4</v>
      </c>
      <c r="D16" s="7">
        <v>860.26</v>
      </c>
      <c r="E16" s="7">
        <v>720.41</v>
      </c>
      <c r="F16" s="7">
        <v>632.76</v>
      </c>
    </row>
    <row r="17" spans="1:6" ht="16" x14ac:dyDescent="0.35">
      <c r="A17" s="6" t="s">
        <v>159</v>
      </c>
      <c r="B17" s="8">
        <v>320601.53000000003</v>
      </c>
      <c r="C17" s="8">
        <v>278080.8</v>
      </c>
      <c r="D17" s="7">
        <v>0</v>
      </c>
      <c r="E17" s="7">
        <v>0</v>
      </c>
      <c r="F17" s="7">
        <v>0</v>
      </c>
    </row>
    <row r="18" spans="1:6" ht="16" x14ac:dyDescent="0.35">
      <c r="A18" s="6" t="s">
        <v>160</v>
      </c>
      <c r="B18" s="8">
        <v>188163.66</v>
      </c>
      <c r="C18" s="8">
        <v>174832.07</v>
      </c>
      <c r="D18" s="8">
        <v>100922.77</v>
      </c>
      <c r="E18" s="8">
        <v>89918.19</v>
      </c>
      <c r="F18" s="8">
        <v>77646.070000000007</v>
      </c>
    </row>
    <row r="19" spans="1:6" x14ac:dyDescent="0.35">
      <c r="A19" s="4" t="s">
        <v>161</v>
      </c>
      <c r="B19" s="14">
        <v>4392417.42</v>
      </c>
      <c r="C19" s="14">
        <v>4030194.26</v>
      </c>
      <c r="D19" s="14">
        <v>2530432.44</v>
      </c>
      <c r="E19" s="14">
        <v>2122934.2999999998</v>
      </c>
      <c r="F19" s="14">
        <v>1799506.65</v>
      </c>
    </row>
    <row r="20" spans="1:6" x14ac:dyDescent="0.35">
      <c r="A20" s="4"/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</row>
    <row r="21" spans="1:6" x14ac:dyDescent="0.35">
      <c r="A21" s="168"/>
      <c r="B21" s="168"/>
      <c r="C21" s="168"/>
      <c r="D21" s="168"/>
      <c r="E21" s="168"/>
      <c r="F21" s="168"/>
    </row>
    <row r="22" spans="1:6" x14ac:dyDescent="0.35">
      <c r="A22" s="6"/>
      <c r="B22" s="7" t="s">
        <v>120</v>
      </c>
      <c r="C22" s="7" t="s">
        <v>120</v>
      </c>
      <c r="D22" s="7" t="s">
        <v>120</v>
      </c>
      <c r="E22" s="7" t="s">
        <v>120</v>
      </c>
      <c r="F22" s="7" t="s">
        <v>120</v>
      </c>
    </row>
    <row r="23" spans="1:6" x14ac:dyDescent="0.35">
      <c r="A23" s="168"/>
      <c r="B23" s="168"/>
      <c r="C23" s="168"/>
      <c r="D23" s="168"/>
      <c r="E23" s="168"/>
      <c r="F23" s="168"/>
    </row>
    <row r="24" spans="1:6" x14ac:dyDescent="0.35">
      <c r="A24" s="169" t="s">
        <v>162</v>
      </c>
      <c r="B24" s="170"/>
      <c r="C24" s="5"/>
      <c r="D24" s="5"/>
      <c r="E24" s="5"/>
      <c r="F24" s="5"/>
    </row>
    <row r="25" spans="1:6" ht="24" x14ac:dyDescent="0.35">
      <c r="A25" s="6" t="s">
        <v>163</v>
      </c>
      <c r="B25" s="8">
        <v>144390.25</v>
      </c>
      <c r="C25" s="8">
        <v>178718.67</v>
      </c>
      <c r="D25" s="8">
        <v>117189.28</v>
      </c>
      <c r="E25" s="8">
        <v>130030.71</v>
      </c>
      <c r="F25" s="8">
        <v>97370.36</v>
      </c>
    </row>
    <row r="26" spans="1:6" ht="24" x14ac:dyDescent="0.35">
      <c r="A26" s="6" t="s">
        <v>164</v>
      </c>
      <c r="B26" s="8">
        <v>105557.65</v>
      </c>
      <c r="C26" s="8">
        <v>50115.839999999997</v>
      </c>
      <c r="D26" s="8">
        <v>79958.53</v>
      </c>
      <c r="E26" s="8">
        <v>25355.02</v>
      </c>
      <c r="F26" s="8">
        <v>23902.17</v>
      </c>
    </row>
    <row r="27" spans="1:6" x14ac:dyDescent="0.35">
      <c r="A27" s="4" t="s">
        <v>47</v>
      </c>
      <c r="B27" s="14">
        <v>2724938.16</v>
      </c>
      <c r="C27" s="14">
        <v>2565891.41</v>
      </c>
      <c r="D27" s="14">
        <v>1661949.29</v>
      </c>
      <c r="E27" s="14">
        <v>1420942.28</v>
      </c>
      <c r="F27" s="14">
        <v>1185283.52</v>
      </c>
    </row>
    <row r="28" spans="1:6" x14ac:dyDescent="0.35">
      <c r="A28" s="4" t="s">
        <v>48</v>
      </c>
      <c r="B28" s="14">
        <v>1186472.8899999999</v>
      </c>
      <c r="C28" s="14">
        <v>1005681.63</v>
      </c>
      <c r="D28" s="14">
        <v>511581.71</v>
      </c>
      <c r="E28" s="14">
        <v>449263.86</v>
      </c>
      <c r="F28" s="14">
        <v>438823.11</v>
      </c>
    </row>
    <row r="29" spans="1:6" x14ac:dyDescent="0.35">
      <c r="A29" s="6" t="s">
        <v>165</v>
      </c>
      <c r="B29" s="8">
        <v>15257.94</v>
      </c>
      <c r="C29" s="8">
        <v>12603.76</v>
      </c>
      <c r="D29" s="8">
        <v>8431.35</v>
      </c>
      <c r="E29" s="8">
        <v>6432.07</v>
      </c>
      <c r="F29" s="8">
        <v>5099.5600000000004</v>
      </c>
    </row>
    <row r="30" spans="1:6" x14ac:dyDescent="0.35">
      <c r="A30" s="4" t="s">
        <v>166</v>
      </c>
      <c r="B30" s="14">
        <v>15257.94</v>
      </c>
      <c r="C30" s="14">
        <v>12603.76</v>
      </c>
      <c r="D30" s="14">
        <v>8431.35</v>
      </c>
      <c r="E30" s="14">
        <v>6432.07</v>
      </c>
      <c r="F30" s="14">
        <v>5099.5600000000004</v>
      </c>
    </row>
    <row r="31" spans="1:6" x14ac:dyDescent="0.35">
      <c r="A31" s="6" t="s">
        <v>167</v>
      </c>
      <c r="B31" s="8">
        <v>215800.53</v>
      </c>
      <c r="C31" s="8">
        <v>217182.95</v>
      </c>
      <c r="D31" s="8">
        <v>151322.28</v>
      </c>
      <c r="E31" s="8">
        <v>90910.36</v>
      </c>
      <c r="F31" s="8">
        <v>49027.92</v>
      </c>
    </row>
    <row r="32" spans="1:6" x14ac:dyDescent="0.35">
      <c r="A32" s="4" t="s">
        <v>10</v>
      </c>
      <c r="B32" s="14">
        <v>4392417.42</v>
      </c>
      <c r="C32" s="14">
        <v>4030194.26</v>
      </c>
      <c r="D32" s="14">
        <v>2530432.44</v>
      </c>
      <c r="E32" s="14">
        <v>2122934.2999999998</v>
      </c>
      <c r="F32" s="14">
        <v>1799506.64</v>
      </c>
    </row>
    <row r="33" spans="1:6" ht="15" thickBot="1" x14ac:dyDescent="0.4">
      <c r="A33" s="165"/>
      <c r="B33" s="165"/>
      <c r="C33" s="165"/>
      <c r="D33" s="165"/>
      <c r="E33" s="165"/>
      <c r="F33" s="165"/>
    </row>
    <row r="34" spans="1:6" ht="16" x14ac:dyDescent="0.35">
      <c r="A34" s="6" t="s">
        <v>168</v>
      </c>
      <c r="B34" s="8">
        <v>2780601.4</v>
      </c>
      <c r="C34" s="8">
        <v>2409820.6</v>
      </c>
      <c r="D34" s="8">
        <v>1822393.35</v>
      </c>
      <c r="E34" s="8">
        <v>1457165.69</v>
      </c>
      <c r="F34" s="8">
        <v>1020028.8</v>
      </c>
    </row>
    <row r="35" spans="1:6" x14ac:dyDescent="0.35">
      <c r="A35" s="6" t="s">
        <v>139</v>
      </c>
      <c r="B35" s="7">
        <v>676.91</v>
      </c>
      <c r="C35" s="7">
        <v>597.27</v>
      </c>
      <c r="D35" s="7">
        <v>518.73</v>
      </c>
      <c r="E35" s="7">
        <v>445.99</v>
      </c>
      <c r="F35" s="7">
        <v>380.59</v>
      </c>
    </row>
  </sheetData>
  <mergeCells count="8">
    <mergeCell ref="A33:F33"/>
    <mergeCell ref="B2:F2"/>
    <mergeCell ref="A4:F4"/>
    <mergeCell ref="A6:F6"/>
    <mergeCell ref="A7:B7"/>
    <mergeCell ref="A21:F21"/>
    <mergeCell ref="A23:F23"/>
    <mergeCell ref="A24:B2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61EB-06F7-44B2-8840-57B6A7D52C1E}">
  <dimension ref="A1:F13"/>
  <sheetViews>
    <sheetView showGridLines="0" workbookViewId="0"/>
  </sheetViews>
  <sheetFormatPr defaultRowHeight="14.5" x14ac:dyDescent="0.35"/>
  <sheetData>
    <row r="1" spans="1:6" ht="21" x14ac:dyDescent="0.5">
      <c r="A1" s="114" t="s">
        <v>417</v>
      </c>
      <c r="B1" s="2"/>
    </row>
    <row r="2" spans="1:6" ht="24" customHeight="1" x14ac:dyDescent="0.35">
      <c r="A2" s="3" t="s">
        <v>145</v>
      </c>
      <c r="B2" s="166" t="s">
        <v>31</v>
      </c>
      <c r="C2" s="167"/>
      <c r="D2" s="167"/>
      <c r="E2" s="167"/>
      <c r="F2" s="167"/>
    </row>
    <row r="3" spans="1:6" x14ac:dyDescent="0.35">
      <c r="A3" s="4"/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</row>
    <row r="4" spans="1:6" x14ac:dyDescent="0.35">
      <c r="A4" s="168"/>
      <c r="B4" s="168"/>
      <c r="C4" s="168"/>
      <c r="D4" s="168"/>
      <c r="E4" s="168"/>
      <c r="F4" s="168"/>
    </row>
    <row r="5" spans="1:6" x14ac:dyDescent="0.35">
      <c r="A5" s="6"/>
      <c r="B5" s="7" t="s">
        <v>120</v>
      </c>
      <c r="C5" s="7" t="s">
        <v>120</v>
      </c>
      <c r="D5" s="7" t="s">
        <v>120</v>
      </c>
      <c r="E5" s="7" t="s">
        <v>120</v>
      </c>
      <c r="F5" s="7" t="s">
        <v>120</v>
      </c>
    </row>
    <row r="6" spans="1:6" x14ac:dyDescent="0.35">
      <c r="A6" s="168"/>
      <c r="B6" s="168"/>
      <c r="C6" s="168"/>
      <c r="D6" s="168"/>
      <c r="E6" s="168"/>
      <c r="F6" s="168"/>
    </row>
    <row r="7" spans="1:6" ht="16" x14ac:dyDescent="0.35">
      <c r="A7" s="4" t="s">
        <v>146</v>
      </c>
      <c r="B7" s="5">
        <v>93594.13</v>
      </c>
      <c r="C7" s="5">
        <v>75184.14</v>
      </c>
      <c r="D7" s="5">
        <v>61346.8</v>
      </c>
      <c r="E7" s="5">
        <v>50775.24</v>
      </c>
      <c r="F7" s="5">
        <v>42772.58</v>
      </c>
    </row>
    <row r="8" spans="1:6" ht="24" x14ac:dyDescent="0.35">
      <c r="A8" s="6" t="s">
        <v>147</v>
      </c>
      <c r="B8" s="7">
        <v>127241.84</v>
      </c>
      <c r="C8" s="7">
        <v>19069.34</v>
      </c>
      <c r="D8" s="7">
        <v>20813.7</v>
      </c>
      <c r="E8" s="7">
        <v>-11959.57</v>
      </c>
      <c r="F8" s="7">
        <v>42476.46</v>
      </c>
    </row>
    <row r="9" spans="1:6" ht="32" x14ac:dyDescent="0.35">
      <c r="A9" s="6" t="s">
        <v>170</v>
      </c>
      <c r="B9" s="7">
        <v>-3850.64</v>
      </c>
      <c r="C9" s="7">
        <v>5313.77</v>
      </c>
      <c r="D9" s="7">
        <v>-3423.89</v>
      </c>
      <c r="E9" s="7">
        <v>-2216.33</v>
      </c>
      <c r="F9" s="7">
        <v>-1680.87</v>
      </c>
    </row>
    <row r="10" spans="1:6" ht="32" x14ac:dyDescent="0.35">
      <c r="A10" s="6" t="s">
        <v>148</v>
      </c>
      <c r="B10" s="7">
        <v>-102477.54</v>
      </c>
      <c r="C10" s="7">
        <v>-3983.06</v>
      </c>
      <c r="D10" s="7">
        <v>23940.560000000001</v>
      </c>
      <c r="E10" s="7">
        <v>48124.02</v>
      </c>
      <c r="F10" s="7">
        <v>-7321.35</v>
      </c>
    </row>
    <row r="11" spans="1:6" ht="40" x14ac:dyDescent="0.35">
      <c r="A11" s="4" t="s">
        <v>149</v>
      </c>
      <c r="B11" s="5">
        <v>21113.39</v>
      </c>
      <c r="C11" s="5">
        <v>31686.7</v>
      </c>
      <c r="D11" s="5">
        <v>41762.080000000002</v>
      </c>
      <c r="E11" s="5">
        <v>34113.22</v>
      </c>
      <c r="F11" s="5">
        <v>33332.410000000003</v>
      </c>
    </row>
    <row r="12" spans="1:6" ht="24" x14ac:dyDescent="0.35">
      <c r="A12" s="6" t="s">
        <v>150</v>
      </c>
      <c r="B12" s="7">
        <v>228834.51</v>
      </c>
      <c r="C12" s="7">
        <v>197147.81</v>
      </c>
      <c r="D12" s="7">
        <v>155385.73000000001</v>
      </c>
      <c r="E12" s="7">
        <v>121272.51</v>
      </c>
      <c r="F12" s="7">
        <v>87940.11</v>
      </c>
    </row>
    <row r="13" spans="1:6" ht="24" x14ac:dyDescent="0.35">
      <c r="A13" s="6" t="s">
        <v>151</v>
      </c>
      <c r="B13" s="7">
        <v>249947.9</v>
      </c>
      <c r="C13" s="7">
        <v>228834.51</v>
      </c>
      <c r="D13" s="7">
        <v>197147.81</v>
      </c>
      <c r="E13" s="7">
        <v>155385.73000000001</v>
      </c>
      <c r="F13" s="7">
        <v>121272.53</v>
      </c>
    </row>
  </sheetData>
  <mergeCells count="3">
    <mergeCell ref="B2:F2"/>
    <mergeCell ref="A4:F4"/>
    <mergeCell ref="A6:F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DE44-FCC9-4A2D-9210-4471AF0A60E5}">
  <dimension ref="A1:O38"/>
  <sheetViews>
    <sheetView showGridLines="0" zoomScale="131" zoomScaleNormal="160" workbookViewId="0"/>
  </sheetViews>
  <sheetFormatPr defaultRowHeight="14.5" x14ac:dyDescent="0.35"/>
  <sheetData>
    <row r="1" spans="1:8" ht="21" x14ac:dyDescent="0.5">
      <c r="A1" s="114" t="s">
        <v>417</v>
      </c>
      <c r="B1" s="2"/>
    </row>
    <row r="2" spans="1:8" ht="24" x14ac:dyDescent="0.35">
      <c r="A2" s="3" t="s">
        <v>114</v>
      </c>
      <c r="B2" s="166" t="s">
        <v>31</v>
      </c>
      <c r="C2" s="167"/>
      <c r="D2" s="167"/>
      <c r="E2" s="167"/>
      <c r="F2" s="167"/>
    </row>
    <row r="3" spans="1:8" x14ac:dyDescent="0.35">
      <c r="A3" s="4"/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  <c r="H3" s="13"/>
    </row>
    <row r="4" spans="1:8" x14ac:dyDescent="0.35">
      <c r="A4" s="168"/>
      <c r="B4" s="168"/>
      <c r="C4" s="168"/>
      <c r="D4" s="168"/>
      <c r="E4" s="168"/>
      <c r="F4" s="168"/>
    </row>
    <row r="5" spans="1:8" x14ac:dyDescent="0.35">
      <c r="A5" s="6"/>
      <c r="B5" s="7" t="s">
        <v>120</v>
      </c>
      <c r="C5" s="7" t="s">
        <v>120</v>
      </c>
      <c r="D5" s="7" t="s">
        <v>120</v>
      </c>
      <c r="E5" s="7" t="s">
        <v>120</v>
      </c>
      <c r="F5" s="7" t="s">
        <v>120</v>
      </c>
    </row>
    <row r="6" spans="1:8" x14ac:dyDescent="0.35">
      <c r="A6" s="168"/>
      <c r="B6" s="168"/>
      <c r="C6" s="168"/>
      <c r="D6" s="168"/>
      <c r="E6" s="168"/>
      <c r="F6" s="168"/>
    </row>
    <row r="7" spans="1:8" x14ac:dyDescent="0.35">
      <c r="A7" s="169" t="s">
        <v>121</v>
      </c>
      <c r="B7" s="170"/>
      <c r="C7" s="5"/>
      <c r="D7" s="5"/>
      <c r="E7" s="5"/>
      <c r="F7" s="5"/>
    </row>
    <row r="8" spans="1:8" x14ac:dyDescent="0.35">
      <c r="A8" s="6" t="s">
        <v>122</v>
      </c>
      <c r="B8" s="8">
        <v>336367.43</v>
      </c>
      <c r="C8" s="8">
        <v>283649.02</v>
      </c>
      <c r="D8" s="8">
        <v>170754.05</v>
      </c>
      <c r="E8" s="8">
        <v>135936.41</v>
      </c>
      <c r="F8" s="8">
        <v>128552.39</v>
      </c>
    </row>
    <row r="9" spans="1:8" x14ac:dyDescent="0.35">
      <c r="A9" s="6" t="s">
        <v>43</v>
      </c>
      <c r="B9" s="8">
        <v>134548.5</v>
      </c>
      <c r="C9" s="8">
        <v>124345.75</v>
      </c>
      <c r="D9" s="8">
        <v>33912.050000000003</v>
      </c>
      <c r="E9" s="8">
        <v>31758.99</v>
      </c>
      <c r="F9" s="8">
        <v>27332.880000000001</v>
      </c>
    </row>
    <row r="10" spans="1:8" x14ac:dyDescent="0.35">
      <c r="A10" s="3" t="s">
        <v>44</v>
      </c>
      <c r="B10" s="9">
        <v>470915.93</v>
      </c>
      <c r="C10" s="9">
        <v>407994.77</v>
      </c>
      <c r="D10" s="9">
        <v>204666.1</v>
      </c>
      <c r="E10" s="9">
        <v>167695.4</v>
      </c>
      <c r="F10" s="9">
        <v>155885.26999999999</v>
      </c>
    </row>
    <row r="11" spans="1:8" x14ac:dyDescent="0.35">
      <c r="A11" s="169" t="s">
        <v>123</v>
      </c>
      <c r="B11" s="170"/>
      <c r="C11" s="5"/>
      <c r="D11" s="5"/>
      <c r="E11" s="5"/>
      <c r="F11" s="5"/>
    </row>
    <row r="12" spans="1:8" ht="16" x14ac:dyDescent="0.35">
      <c r="A12" s="6" t="s">
        <v>124</v>
      </c>
      <c r="B12" s="8">
        <v>183894.2</v>
      </c>
      <c r="C12" s="8">
        <v>154138.54999999999</v>
      </c>
      <c r="D12" s="8">
        <v>77779.94</v>
      </c>
      <c r="E12" s="8">
        <v>58584.33</v>
      </c>
      <c r="F12" s="8">
        <v>59247.58</v>
      </c>
    </row>
    <row r="13" spans="1:8" x14ac:dyDescent="0.35">
      <c r="A13" s="6" t="s">
        <v>125</v>
      </c>
      <c r="B13" s="8">
        <v>34135.75</v>
      </c>
      <c r="C13" s="8">
        <v>31023</v>
      </c>
      <c r="D13" s="8">
        <v>20016.849999999999</v>
      </c>
      <c r="E13" s="8">
        <v>15897.03</v>
      </c>
      <c r="F13" s="8">
        <v>13676.67</v>
      </c>
    </row>
    <row r="14" spans="1:8" ht="24" x14ac:dyDescent="0.35">
      <c r="A14" s="6" t="s">
        <v>126</v>
      </c>
      <c r="B14" s="8">
        <v>175640.58</v>
      </c>
      <c r="C14" s="8">
        <v>154294.64000000001</v>
      </c>
      <c r="D14" s="8">
        <v>58375.14</v>
      </c>
      <c r="E14" s="8">
        <v>53382.41</v>
      </c>
      <c r="F14" s="8">
        <v>49719.25</v>
      </c>
    </row>
    <row r="15" spans="1:8" x14ac:dyDescent="0.35">
      <c r="A15" s="6" t="s">
        <v>127</v>
      </c>
      <c r="B15" s="8">
        <v>3805.23</v>
      </c>
      <c r="C15" s="8">
        <v>3092.08</v>
      </c>
      <c r="D15" s="8">
        <v>2345.4699999999998</v>
      </c>
      <c r="E15" s="8">
        <v>1680.73</v>
      </c>
      <c r="F15" s="8">
        <v>1385.01</v>
      </c>
    </row>
    <row r="16" spans="1:8" ht="16" x14ac:dyDescent="0.35">
      <c r="A16" s="6" t="s">
        <v>128</v>
      </c>
      <c r="B16" s="8">
        <v>176605.07</v>
      </c>
      <c r="C16" s="8">
        <v>152269.34</v>
      </c>
      <c r="D16" s="8">
        <v>51533.69</v>
      </c>
      <c r="E16" s="8">
        <v>40312.43</v>
      </c>
      <c r="F16" s="8">
        <v>35001.26</v>
      </c>
    </row>
    <row r="17" spans="1:6" ht="16" x14ac:dyDescent="0.35">
      <c r="A17" s="6" t="s">
        <v>129</v>
      </c>
      <c r="B17" s="8">
        <v>36976.49</v>
      </c>
      <c r="C17" s="8">
        <v>36140.379999999997</v>
      </c>
      <c r="D17" s="8">
        <v>29203.77</v>
      </c>
      <c r="E17" s="8">
        <v>30647.74</v>
      </c>
      <c r="F17" s="8">
        <v>29779.67</v>
      </c>
    </row>
    <row r="18" spans="1:6" x14ac:dyDescent="0.35">
      <c r="A18" s="3" t="s">
        <v>130</v>
      </c>
      <c r="B18" s="9">
        <v>397475.76</v>
      </c>
      <c r="C18" s="9">
        <v>342548.27</v>
      </c>
      <c r="D18" s="9">
        <v>158517.4</v>
      </c>
      <c r="E18" s="9">
        <v>129544.5</v>
      </c>
      <c r="F18" s="9">
        <v>124028.51</v>
      </c>
    </row>
    <row r="19" spans="1:6" x14ac:dyDescent="0.35">
      <c r="A19" s="4"/>
      <c r="B19" s="5" t="s">
        <v>115</v>
      </c>
      <c r="C19" s="5" t="s">
        <v>116</v>
      </c>
      <c r="D19" s="5" t="s">
        <v>117</v>
      </c>
      <c r="E19" s="5" t="s">
        <v>118</v>
      </c>
      <c r="F19" s="5" t="s">
        <v>119</v>
      </c>
    </row>
    <row r="20" spans="1:6" x14ac:dyDescent="0.35">
      <c r="A20" s="168"/>
      <c r="B20" s="168"/>
      <c r="C20" s="168"/>
      <c r="D20" s="168"/>
      <c r="E20" s="168"/>
      <c r="F20" s="168"/>
    </row>
    <row r="21" spans="1:6" x14ac:dyDescent="0.35">
      <c r="A21" s="6"/>
      <c r="B21" s="7" t="s">
        <v>120</v>
      </c>
      <c r="C21" s="7" t="s">
        <v>120</v>
      </c>
      <c r="D21" s="7" t="s">
        <v>120</v>
      </c>
      <c r="E21" s="7" t="s">
        <v>120</v>
      </c>
      <c r="F21" s="7" t="s">
        <v>120</v>
      </c>
    </row>
    <row r="22" spans="1:6" x14ac:dyDescent="0.35">
      <c r="A22" s="168"/>
      <c r="B22" s="168"/>
      <c r="C22" s="168"/>
      <c r="D22" s="168"/>
      <c r="E22" s="168"/>
      <c r="F22" s="168"/>
    </row>
    <row r="23" spans="1:6" ht="16" x14ac:dyDescent="0.35">
      <c r="A23" s="3" t="s">
        <v>131</v>
      </c>
      <c r="B23" s="9">
        <v>73440.17</v>
      </c>
      <c r="C23" s="9">
        <v>65446.5</v>
      </c>
      <c r="D23" s="9">
        <v>46148.7</v>
      </c>
      <c r="E23" s="9">
        <v>38150.9</v>
      </c>
      <c r="F23" s="9">
        <v>31856.77</v>
      </c>
    </row>
    <row r="24" spans="1:6" x14ac:dyDescent="0.35">
      <c r="A24" s="6" t="s">
        <v>132</v>
      </c>
      <c r="B24" s="8">
        <v>2647.92</v>
      </c>
      <c r="C24" s="8">
        <v>1384.46</v>
      </c>
      <c r="D24" s="7">
        <v>151.59</v>
      </c>
      <c r="E24" s="7">
        <v>98.15</v>
      </c>
      <c r="F24" s="7">
        <v>23.56</v>
      </c>
    </row>
    <row r="25" spans="1:6" ht="32" x14ac:dyDescent="0.35">
      <c r="A25" s="6" t="s">
        <v>133</v>
      </c>
      <c r="B25" s="8">
        <v>70792.25</v>
      </c>
      <c r="C25" s="8">
        <v>64062.04</v>
      </c>
      <c r="D25" s="8">
        <v>45997.11</v>
      </c>
      <c r="E25" s="8">
        <v>38052.75</v>
      </c>
      <c r="F25" s="8">
        <v>31833.21</v>
      </c>
    </row>
    <row r="26" spans="1:6" ht="16" x14ac:dyDescent="0.35">
      <c r="A26" s="6" t="s">
        <v>134</v>
      </c>
      <c r="B26" s="8">
        <v>150045.57</v>
      </c>
      <c r="C26" s="8">
        <v>123939.45</v>
      </c>
      <c r="D26" s="8">
        <v>99062.77</v>
      </c>
      <c r="E26" s="8">
        <v>78594.2</v>
      </c>
      <c r="F26" s="8">
        <v>61817.69</v>
      </c>
    </row>
    <row r="27" spans="1:6" ht="14.5" customHeight="1" x14ac:dyDescent="0.35">
      <c r="A27" s="3" t="s">
        <v>135</v>
      </c>
      <c r="B27" s="9">
        <v>223485.74</v>
      </c>
      <c r="C27" s="9">
        <v>189385.95</v>
      </c>
      <c r="D27" s="9">
        <v>145211.47</v>
      </c>
      <c r="E27" s="9">
        <v>116745.1</v>
      </c>
      <c r="F27" s="9">
        <v>93674.46</v>
      </c>
    </row>
    <row r="28" spans="1:6" x14ac:dyDescent="0.35">
      <c r="A28" s="6" t="s">
        <v>136</v>
      </c>
      <c r="B28" s="7">
        <v>0</v>
      </c>
      <c r="C28" s="8">
        <v>8404.42</v>
      </c>
      <c r="D28" s="7">
        <v>0</v>
      </c>
      <c r="E28" s="7">
        <v>0</v>
      </c>
      <c r="F28" s="7">
        <v>0</v>
      </c>
    </row>
    <row r="29" spans="1:6" x14ac:dyDescent="0.35">
      <c r="A29" s="169" t="s">
        <v>137</v>
      </c>
      <c r="B29" s="170"/>
      <c r="C29" s="5"/>
      <c r="D29" s="5"/>
      <c r="E29" s="5"/>
      <c r="F29" s="5"/>
    </row>
    <row r="30" spans="1:6" ht="16" x14ac:dyDescent="0.35">
      <c r="A30" s="3" t="s">
        <v>138</v>
      </c>
      <c r="B30" s="10">
        <v>95.97</v>
      </c>
      <c r="C30" s="10">
        <v>86.15</v>
      </c>
      <c r="D30" s="10">
        <v>82.71</v>
      </c>
      <c r="E30" s="10">
        <v>68.8</v>
      </c>
      <c r="F30" s="10">
        <v>57.79</v>
      </c>
    </row>
    <row r="31" spans="1:6" x14ac:dyDescent="0.35">
      <c r="A31" s="6" t="s">
        <v>139</v>
      </c>
      <c r="B31" s="7">
        <v>676.91</v>
      </c>
      <c r="C31" s="7">
        <v>597.27</v>
      </c>
      <c r="D31" s="7">
        <v>518.73</v>
      </c>
      <c r="E31" s="7">
        <v>445.99</v>
      </c>
      <c r="F31" s="7">
        <v>380.59</v>
      </c>
    </row>
    <row r="32" spans="1:6" x14ac:dyDescent="0.35">
      <c r="A32" s="169" t="s">
        <v>140</v>
      </c>
      <c r="B32" s="170"/>
      <c r="C32" s="5"/>
      <c r="D32" s="5"/>
      <c r="E32" s="5"/>
      <c r="F32" s="5"/>
    </row>
    <row r="33" spans="1:15" ht="24" x14ac:dyDescent="0.35">
      <c r="A33" s="6" t="s">
        <v>141</v>
      </c>
      <c r="B33" s="8">
        <v>35410.53</v>
      </c>
      <c r="C33" s="8">
        <v>23470.27</v>
      </c>
      <c r="D33" s="8">
        <v>20279.66</v>
      </c>
      <c r="E33" s="8">
        <v>13888.04</v>
      </c>
      <c r="F33" s="8">
        <v>11945.05</v>
      </c>
    </row>
    <row r="34" spans="1:15" ht="16" x14ac:dyDescent="0.35">
      <c r="A34" s="6" t="s">
        <v>142</v>
      </c>
      <c r="B34" s="8">
        <v>6734.74</v>
      </c>
      <c r="C34" s="8">
        <v>6081.23</v>
      </c>
      <c r="D34" s="8">
        <v>4410.87</v>
      </c>
      <c r="E34" s="8">
        <v>3696.14</v>
      </c>
      <c r="F34" s="8">
        <v>3111.65</v>
      </c>
    </row>
    <row r="35" spans="1:15" ht="24" x14ac:dyDescent="0.35">
      <c r="A35" s="6" t="s">
        <v>143</v>
      </c>
      <c r="B35" s="7">
        <v>0</v>
      </c>
      <c r="C35" s="8">
        <v>8404.42</v>
      </c>
      <c r="D35" s="7">
        <v>0</v>
      </c>
      <c r="E35" s="7">
        <v>0</v>
      </c>
      <c r="F35" s="7">
        <v>0</v>
      </c>
    </row>
    <row r="36" spans="1:15" ht="16" x14ac:dyDescent="0.35">
      <c r="A36" s="6" t="s">
        <v>144</v>
      </c>
      <c r="B36" s="8">
        <v>178692.55</v>
      </c>
      <c r="C36" s="8">
        <v>150045.57</v>
      </c>
      <c r="D36" s="8">
        <v>120369.35</v>
      </c>
      <c r="E36" s="8">
        <v>99062.77</v>
      </c>
      <c r="F36" s="8">
        <v>78594.2</v>
      </c>
    </row>
    <row r="37" spans="1:15" x14ac:dyDescent="0.35">
      <c r="A37" s="3" t="s">
        <v>135</v>
      </c>
      <c r="B37" s="9">
        <v>220837.82</v>
      </c>
      <c r="C37" s="9">
        <v>188001.49</v>
      </c>
      <c r="D37" s="9">
        <v>145059.88</v>
      </c>
      <c r="E37" s="9">
        <v>116646.95</v>
      </c>
      <c r="F37" s="9">
        <v>93650.9</v>
      </c>
      <c r="J37" s="11"/>
      <c r="K37" s="12"/>
      <c r="L37" s="1"/>
      <c r="M37" s="1"/>
      <c r="N37" s="1"/>
      <c r="O37" s="1"/>
    </row>
    <row r="38" spans="1:15" x14ac:dyDescent="0.35">
      <c r="J38" s="171"/>
      <c r="K38" s="171"/>
      <c r="L38" s="171"/>
      <c r="M38" s="171"/>
      <c r="N38" s="171"/>
      <c r="O38" s="171"/>
    </row>
  </sheetData>
  <mergeCells count="10">
    <mergeCell ref="J38:O38"/>
    <mergeCell ref="A29:B29"/>
    <mergeCell ref="A32:B32"/>
    <mergeCell ref="B2:F2"/>
    <mergeCell ref="A4:F4"/>
    <mergeCell ref="A6:F6"/>
    <mergeCell ref="A7:B7"/>
    <mergeCell ref="A11:B11"/>
    <mergeCell ref="A20:F20"/>
    <mergeCell ref="A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Equity Research</vt:lpstr>
      <vt:lpstr>Valuation_Sensitivity</vt:lpstr>
      <vt:lpstr>Output (IC Memo Ready)</vt:lpstr>
      <vt:lpstr>Risk &amp; Sensitivity</vt:lpstr>
      <vt:lpstr>Investor_Positioning</vt:lpstr>
      <vt:lpstr>M&amp;A_Strategy</vt:lpstr>
      <vt:lpstr>Capital_Raising Strategy</vt:lpstr>
      <vt:lpstr>Valuation</vt:lpstr>
      <vt:lpstr>Forecast_Model</vt:lpstr>
      <vt:lpstr>Key_Operating Drivers</vt:lpstr>
      <vt:lpstr>Historical_Financials</vt:lpstr>
      <vt:lpstr>Control_Panel</vt:lpstr>
      <vt:lpstr>Balance Sheet (Cons-Stand)</vt:lpstr>
      <vt:lpstr>Cash Flow Statement (Cons-Stand</vt:lpstr>
      <vt:lpstr>Income Statement (Cons-Stand)</vt:lpstr>
      <vt:lpstr>BaseBVPS</vt:lpstr>
      <vt:lpstr>BaseROE</vt:lpstr>
      <vt:lpstr>Beta</vt:lpstr>
      <vt:lpstr>COE</vt:lpstr>
      <vt:lpstr>GDPGrowth</vt:lpstr>
      <vt:lpstr>Growth</vt:lpstr>
      <vt:lpstr>Inflation</vt:lpstr>
      <vt:lpstr>JustifiedP_B</vt:lpstr>
      <vt:lpstr>Market_Premium</vt:lpstr>
      <vt:lpstr>MarketPremium</vt:lpstr>
      <vt:lpstr>RiskFreeRate</vt:lpstr>
      <vt:lpstr>TargetPrice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Dubey</dc:creator>
  <cp:lastModifiedBy>Avinash Dubey</cp:lastModifiedBy>
  <dcterms:created xsi:type="dcterms:W3CDTF">2026-02-21T10:29:18Z</dcterms:created>
  <dcterms:modified xsi:type="dcterms:W3CDTF">2026-03-11T08:51:55Z</dcterms:modified>
</cp:coreProperties>
</file>